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IB Work\"/>
    </mc:Choice>
  </mc:AlternateContent>
  <xr:revisionPtr revIDLastSave="0" documentId="13_ncr:1_{80B7ABAA-2947-451B-B2DA-E7FF892F3D36}" xr6:coauthVersionLast="47" xr6:coauthVersionMax="47" xr10:uidLastSave="{00000000-0000-0000-0000-000000000000}"/>
  <bookViews>
    <workbookView xWindow="-120" yWindow="-120" windowWidth="29040" windowHeight="15840" xr2:uid="{787C89DA-0B37-467B-87C1-79973002E57C}"/>
  </bookViews>
  <sheets>
    <sheet name="DCF" sheetId="1" r:id="rId1"/>
    <sheet name="WAC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3" l="1"/>
  <c r="E8" i="3" s="1"/>
  <c r="E14" i="3"/>
  <c r="F58" i="1"/>
  <c r="E58" i="1"/>
  <c r="D58" i="1"/>
  <c r="F54" i="1"/>
  <c r="E54" i="1"/>
  <c r="D54" i="1"/>
  <c r="F52" i="1"/>
  <c r="E52" i="1"/>
  <c r="D52" i="1"/>
  <c r="E36" i="1"/>
  <c r="F36" i="1"/>
  <c r="D36" i="1"/>
  <c r="E30" i="1"/>
  <c r="F30" i="1"/>
  <c r="D30" i="1"/>
  <c r="K47" i="1"/>
  <c r="J47" i="1"/>
  <c r="I47" i="1"/>
  <c r="H47" i="1"/>
  <c r="G47" i="1"/>
  <c r="F46" i="1"/>
  <c r="F49" i="1" s="1"/>
  <c r="E46" i="1"/>
  <c r="E49" i="1" s="1"/>
  <c r="D46" i="1"/>
  <c r="D49" i="1" s="1"/>
  <c r="F44" i="1"/>
  <c r="E44" i="1"/>
  <c r="D44" i="1"/>
  <c r="F41" i="1"/>
  <c r="E41" i="1"/>
  <c r="G40" i="1"/>
  <c r="E25" i="1"/>
  <c r="F25" i="1"/>
  <c r="H26" i="1"/>
  <c r="I26" i="1"/>
  <c r="J26" i="1"/>
  <c r="K26" i="1"/>
  <c r="G26" i="1"/>
  <c r="G19" i="1"/>
  <c r="G20" i="1" s="1"/>
  <c r="F20" i="1"/>
  <c r="E20" i="1"/>
  <c r="E23" i="1"/>
  <c r="F23" i="1"/>
  <c r="D23" i="1"/>
  <c r="F32" i="1"/>
  <c r="F55" i="1" s="1"/>
  <c r="E32" i="1"/>
  <c r="E33" i="1" s="1"/>
  <c r="D32" i="1"/>
  <c r="D55" i="1" s="1"/>
  <c r="D25" i="1"/>
  <c r="E39" i="1"/>
  <c r="F39" i="1" s="1"/>
  <c r="G39" i="1" s="1"/>
  <c r="H39" i="1" s="1"/>
  <c r="I39" i="1" s="1"/>
  <c r="J39" i="1" s="1"/>
  <c r="K39" i="1" s="1"/>
  <c r="E28" i="1"/>
  <c r="F28" i="1" s="1"/>
  <c r="G28" i="1" s="1"/>
  <c r="H28" i="1" s="1"/>
  <c r="I28" i="1" s="1"/>
  <c r="J28" i="1" s="1"/>
  <c r="K28" i="1" s="1"/>
  <c r="E18" i="1"/>
  <c r="F18" i="1" s="1"/>
  <c r="G18" i="1" s="1"/>
  <c r="H18" i="1" s="1"/>
  <c r="I18" i="1" s="1"/>
  <c r="J18" i="1" s="1"/>
  <c r="K18" i="1" s="1"/>
  <c r="D60" i="1" l="1"/>
  <c r="E60" i="1"/>
  <c r="F60" i="1"/>
  <c r="D33" i="1"/>
  <c r="F33" i="1"/>
  <c r="E55" i="1"/>
  <c r="E13" i="3"/>
  <c r="E21" i="3"/>
  <c r="D6" i="1" s="1"/>
  <c r="G32" i="1"/>
  <c r="G54" i="1"/>
  <c r="G57" i="1"/>
  <c r="G51" i="1"/>
  <c r="G29" i="1"/>
  <c r="G43" i="1"/>
  <c r="H19" i="1"/>
  <c r="H20" i="1" s="1"/>
  <c r="G22" i="1"/>
  <c r="G23" i="1" s="1"/>
  <c r="H40" i="1"/>
  <c r="G35" i="1"/>
  <c r="G41" i="1"/>
  <c r="G36" i="1" l="1"/>
  <c r="G58" i="1"/>
  <c r="I40" i="1"/>
  <c r="H43" i="1"/>
  <c r="H35" i="1"/>
  <c r="I19" i="1"/>
  <c r="H22" i="1"/>
  <c r="H57" i="1"/>
  <c r="H32" i="1"/>
  <c r="H51" i="1"/>
  <c r="H54" i="1"/>
  <c r="H41" i="1"/>
  <c r="H29" i="1"/>
  <c r="G55" i="1"/>
  <c r="G33" i="1"/>
  <c r="G25" i="1"/>
  <c r="G44" i="1"/>
  <c r="G46" i="1"/>
  <c r="G49" i="1" s="1"/>
  <c r="G60" i="1" s="1"/>
  <c r="G61" i="1" s="1"/>
  <c r="G30" i="1"/>
  <c r="G52" i="1"/>
  <c r="I20" i="1"/>
  <c r="H23" i="1"/>
  <c r="H44" i="1" l="1"/>
  <c r="H25" i="1"/>
  <c r="H46" i="1"/>
  <c r="J19" i="1"/>
  <c r="I29" i="1"/>
  <c r="I43" i="1"/>
  <c r="I51" i="1"/>
  <c r="I35" i="1"/>
  <c r="I57" i="1"/>
  <c r="I54" i="1"/>
  <c r="I22" i="1"/>
  <c r="I23" i="1" s="1"/>
  <c r="I32" i="1"/>
  <c r="I41" i="1"/>
  <c r="J40" i="1"/>
  <c r="H36" i="1"/>
  <c r="H58" i="1"/>
  <c r="H52" i="1"/>
  <c r="H30" i="1"/>
  <c r="H33" i="1"/>
  <c r="H55" i="1"/>
  <c r="H49" i="1"/>
  <c r="H60" i="1" s="1"/>
  <c r="H61" i="1" s="1"/>
  <c r="J20" i="1"/>
  <c r="I46" i="1" l="1"/>
  <c r="I49" i="1" s="1"/>
  <c r="I44" i="1"/>
  <c r="I25" i="1"/>
  <c r="I36" i="1"/>
  <c r="I58" i="1"/>
  <c r="I52" i="1"/>
  <c r="I30" i="1"/>
  <c r="I33" i="1"/>
  <c r="I55" i="1"/>
  <c r="K19" i="1"/>
  <c r="K20" i="1" s="1"/>
  <c r="J29" i="1"/>
  <c r="J57" i="1"/>
  <c r="J51" i="1"/>
  <c r="J54" i="1"/>
  <c r="J41" i="1"/>
  <c r="J22" i="1"/>
  <c r="J23" i="1" s="1"/>
  <c r="K40" i="1"/>
  <c r="J32" i="1"/>
  <c r="J35" i="1"/>
  <c r="J43" i="1"/>
  <c r="I60" i="1" l="1"/>
  <c r="I61" i="1" s="1"/>
  <c r="J58" i="1"/>
  <c r="J36" i="1"/>
  <c r="J52" i="1"/>
  <c r="J30" i="1"/>
  <c r="J44" i="1"/>
  <c r="J25" i="1"/>
  <c r="J46" i="1"/>
  <c r="J49" i="1" s="1"/>
  <c r="J60" i="1" s="1"/>
  <c r="J61" i="1" s="1"/>
  <c r="K35" i="1"/>
  <c r="K57" i="1"/>
  <c r="K32" i="1"/>
  <c r="K43" i="1"/>
  <c r="K54" i="1"/>
  <c r="K29" i="1"/>
  <c r="K41" i="1"/>
  <c r="K51" i="1"/>
  <c r="K22" i="1"/>
  <c r="K23" i="1" s="1"/>
  <c r="J33" i="1"/>
  <c r="J55" i="1"/>
  <c r="K44" i="1" l="1"/>
  <c r="K25" i="1"/>
  <c r="K46" i="1"/>
  <c r="K49" i="1" s="1"/>
  <c r="K60" i="1" s="1"/>
  <c r="K36" i="1"/>
  <c r="K58" i="1"/>
  <c r="K52" i="1"/>
  <c r="K30" i="1"/>
  <c r="K33" i="1"/>
  <c r="K55" i="1"/>
  <c r="K64" i="1" l="1"/>
  <c r="K65" i="1" s="1"/>
  <c r="K61" i="1"/>
  <c r="K66" i="1" l="1"/>
  <c r="K69" i="1" s="1"/>
  <c r="K71" i="1" s="1"/>
  <c r="B77" i="1" l="1"/>
</calcChain>
</file>

<file path=xl/sharedStrings.xml><?xml version="1.0" encoding="utf-8"?>
<sst xmlns="http://schemas.openxmlformats.org/spreadsheetml/2006/main" count="84" uniqueCount="56">
  <si>
    <t>x</t>
  </si>
  <si>
    <t>Assumptions</t>
  </si>
  <si>
    <t>Valuation Assumptions</t>
  </si>
  <si>
    <t>WACC</t>
  </si>
  <si>
    <t>TGR</t>
  </si>
  <si>
    <t>Tax Rate</t>
  </si>
  <si>
    <t>Operating Assumptions</t>
  </si>
  <si>
    <t>Revenue  Growth %</t>
  </si>
  <si>
    <t>EBIT Margin %</t>
  </si>
  <si>
    <t>D&amp;A % Revenue</t>
  </si>
  <si>
    <t>CapEx % Revenue</t>
  </si>
  <si>
    <t>Change in NWC  % Revenue</t>
  </si>
  <si>
    <t>Income Statement</t>
  </si>
  <si>
    <t>Revenue</t>
  </si>
  <si>
    <t>% growth</t>
  </si>
  <si>
    <t xml:space="preserve">EBIT </t>
  </si>
  <si>
    <t>% of sales</t>
  </si>
  <si>
    <t>Taxes</t>
  </si>
  <si>
    <t>Cash Flow Items</t>
  </si>
  <si>
    <t>D&amp;A</t>
  </si>
  <si>
    <t>CapEx</t>
  </si>
  <si>
    <t>Change in NWC</t>
  </si>
  <si>
    <t>NOPAT</t>
  </si>
  <si>
    <t>DCF</t>
  </si>
  <si>
    <t>Unlevered FCF</t>
  </si>
  <si>
    <t>Present Value of FCF</t>
  </si>
  <si>
    <t>Terminal Value</t>
  </si>
  <si>
    <t>Present Value of Terminal Value</t>
  </si>
  <si>
    <t>Enterpise Valuue</t>
  </si>
  <si>
    <t>+Cash</t>
  </si>
  <si>
    <t>-Debt</t>
  </si>
  <si>
    <t>Equity Value</t>
  </si>
  <si>
    <t>Outstanding Shares</t>
  </si>
  <si>
    <t>Implied Share Price</t>
  </si>
  <si>
    <t>-</t>
  </si>
  <si>
    <t>Tax Rate ?</t>
  </si>
  <si>
    <t>2026E</t>
  </si>
  <si>
    <t>2027E</t>
  </si>
  <si>
    <t>2028E</t>
  </si>
  <si>
    <t>2029E</t>
  </si>
  <si>
    <t>2030E</t>
  </si>
  <si>
    <t>Monster - WACC Calculation</t>
  </si>
  <si>
    <t xml:space="preserve"> </t>
  </si>
  <si>
    <t>Debt</t>
  </si>
  <si>
    <t>% Debt</t>
  </si>
  <si>
    <t>Cost of Debt</t>
  </si>
  <si>
    <t>% Equity</t>
  </si>
  <si>
    <t>Cost of Equity</t>
  </si>
  <si>
    <t>Risk Free Rate</t>
  </si>
  <si>
    <t>Market Risk Premium</t>
  </si>
  <si>
    <t>Beta</t>
  </si>
  <si>
    <t>Debt + Equity</t>
  </si>
  <si>
    <t>Calculations:</t>
  </si>
  <si>
    <t>(USD in Thousands)</t>
  </si>
  <si>
    <t>Sensitivity Table</t>
  </si>
  <si>
    <t>DCF - Monster Beverage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</si>
</sst>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FY&quot;\ yy"/>
    <numFmt numFmtId="165" formatCode="#,##0;\(#,##0\);\-;@"/>
    <numFmt numFmtId="166" formatCode="0.0%;\(0.0%\);\-;@"/>
    <numFmt numFmtId="167" formatCode="_-[$$-409]* #,##0.00_ ;_-[$$-409]* \-#,##0.00\ ;_-[$$-409]* &quot;-&quot;??_ ;_-@_ "/>
    <numFmt numFmtId="168" formatCode="_-[$$-409]* #,##0.0_ ;_-[$$-409]* \-#,##0.0\ ;_-[$$-409]* &quot;-&quot;??_ ;_-@_ "/>
    <numFmt numFmtId="169" formatCode="0.00%;\(0.00%\);\-;@"/>
  </numFmts>
  <fonts count="22" x14ac:knownFonts="1">
    <font>
      <sz val="12"/>
      <color theme="1"/>
      <name val="Aptos Narrow"/>
      <family val="2"/>
      <charset val="238"/>
    </font>
    <font>
      <b/>
      <sz val="16"/>
      <color theme="1"/>
      <name val="Aptos Narrow"/>
      <family val="2"/>
    </font>
    <font>
      <sz val="11"/>
      <color theme="1"/>
      <name val="Aptos Narrow"/>
      <family val="2"/>
      <charset val="238"/>
    </font>
    <font>
      <sz val="11"/>
      <color theme="0"/>
      <name val="Aptos Narrow"/>
      <family val="2"/>
      <charset val="238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11"/>
      <color theme="0"/>
      <name val="Aptos Narrow"/>
      <family val="2"/>
    </font>
    <font>
      <i/>
      <sz val="11"/>
      <color theme="9"/>
      <name val="Aptos Narrow"/>
      <family val="2"/>
    </font>
    <font>
      <sz val="11"/>
      <color theme="9"/>
      <name val="Aptos Narrow"/>
      <family val="2"/>
      <charset val="238"/>
    </font>
    <font>
      <sz val="11"/>
      <color theme="1"/>
      <name val="Aptos Narrow"/>
      <family val="2"/>
    </font>
    <font>
      <sz val="11"/>
      <color rgb="FF0070C0"/>
      <name val="Aptos Narrow"/>
      <family val="2"/>
      <charset val="238"/>
    </font>
    <font>
      <sz val="12"/>
      <color rgb="FF0070C0"/>
      <name val="Aptos Narrow"/>
      <family val="2"/>
      <charset val="238"/>
    </font>
    <font>
      <i/>
      <sz val="11"/>
      <color rgb="FF0070C0"/>
      <name val="Aptos Narrow"/>
      <family val="2"/>
    </font>
    <font>
      <i/>
      <sz val="11"/>
      <name val="Aptos Narrow"/>
      <family val="2"/>
    </font>
    <font>
      <sz val="11"/>
      <name val="Aptos Narrow"/>
      <family val="2"/>
      <charset val="238"/>
    </font>
    <font>
      <sz val="11"/>
      <color rgb="FF0070C0"/>
      <name val="Aptos Narrow"/>
      <family val="2"/>
    </font>
    <font>
      <b/>
      <i/>
      <sz val="11"/>
      <name val="Aptos Narrow"/>
      <family val="2"/>
    </font>
    <font>
      <b/>
      <sz val="10"/>
      <color theme="1"/>
      <name val="Aptos Narrow"/>
      <family val="2"/>
    </font>
    <font>
      <b/>
      <sz val="12"/>
      <color theme="0"/>
      <name val="Aptos Narrow"/>
      <family val="2"/>
    </font>
    <font>
      <b/>
      <u/>
      <sz val="11"/>
      <color theme="1"/>
      <name val="Aptos Narrow"/>
      <family val="2"/>
    </font>
    <font>
      <b/>
      <sz val="11"/>
      <color rgb="FFC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4" fillId="2" borderId="0" xfId="0" applyFont="1" applyFill="1"/>
    <xf numFmtId="0" fontId="5" fillId="0" borderId="0" xfId="0" applyFont="1"/>
    <xf numFmtId="0" fontId="2" fillId="0" borderId="0" xfId="0" applyFont="1" applyAlignment="1">
      <alignment horizontal="right"/>
    </xf>
    <xf numFmtId="0" fontId="6" fillId="0" borderId="0" xfId="0" applyFont="1"/>
    <xf numFmtId="0" fontId="2" fillId="0" borderId="2" xfId="0" applyFont="1" applyBorder="1"/>
    <xf numFmtId="0" fontId="7" fillId="2" borderId="0" xfId="0" applyFont="1" applyFill="1"/>
    <xf numFmtId="164" fontId="4" fillId="2" borderId="0" xfId="0" applyNumberFormat="1" applyFont="1" applyFill="1"/>
    <xf numFmtId="164" fontId="4" fillId="2" borderId="2" xfId="0" applyNumberFormat="1" applyFont="1" applyFill="1" applyBorder="1"/>
    <xf numFmtId="0" fontId="5" fillId="0" borderId="3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0" xfId="0" quotePrefix="1" applyFont="1" applyAlignment="1">
      <alignment horizontal="left" indent="1"/>
    </xf>
    <xf numFmtId="0" fontId="2" fillId="0" borderId="1" xfId="0" quotePrefix="1" applyFont="1" applyBorder="1" applyAlignment="1">
      <alignment horizontal="left" indent="1"/>
    </xf>
    <xf numFmtId="0" fontId="2" fillId="0" borderId="1" xfId="0" applyFont="1" applyBorder="1" applyAlignment="1">
      <alignment horizontal="right"/>
    </xf>
    <xf numFmtId="165" fontId="2" fillId="0" borderId="0" xfId="0" applyNumberFormat="1" applyFont="1"/>
    <xf numFmtId="166" fontId="6" fillId="0" borderId="0" xfId="0" applyNumberFormat="1" applyFont="1" applyAlignment="1">
      <alignment horizontal="right"/>
    </xf>
    <xf numFmtId="166" fontId="6" fillId="0" borderId="0" xfId="0" applyNumberFormat="1" applyFont="1"/>
    <xf numFmtId="165" fontId="9" fillId="0" borderId="0" xfId="0" applyNumberFormat="1" applyFont="1"/>
    <xf numFmtId="0" fontId="5" fillId="0" borderId="0" xfId="0" applyFont="1" applyAlignment="1">
      <alignment horizontal="right"/>
    </xf>
    <xf numFmtId="165" fontId="11" fillId="0" borderId="0" xfId="0" applyNumberFormat="1" applyFont="1"/>
    <xf numFmtId="3" fontId="12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6" fontId="13" fillId="0" borderId="0" xfId="0" applyNumberFormat="1" applyFont="1"/>
    <xf numFmtId="165" fontId="2" fillId="0" borderId="2" xfId="0" applyNumberFormat="1" applyFont="1" applyBorder="1"/>
    <xf numFmtId="166" fontId="6" fillId="0" borderId="2" xfId="0" applyNumberFormat="1" applyFont="1" applyBorder="1"/>
    <xf numFmtId="166" fontId="6" fillId="0" borderId="2" xfId="0" applyNumberFormat="1" applyFont="1" applyBorder="1" applyAlignment="1">
      <alignment horizontal="right"/>
    </xf>
    <xf numFmtId="166" fontId="14" fillId="0" borderId="2" xfId="0" applyNumberFormat="1" applyFont="1" applyBorder="1" applyAlignment="1">
      <alignment horizontal="right"/>
    </xf>
    <xf numFmtId="165" fontId="15" fillId="0" borderId="0" xfId="0" applyNumberFormat="1" applyFont="1"/>
    <xf numFmtId="165" fontId="16" fillId="0" borderId="0" xfId="0" applyNumberFormat="1" applyFont="1"/>
    <xf numFmtId="166" fontId="14" fillId="0" borderId="0" xfId="0" applyNumberFormat="1" applyFont="1" applyAlignment="1">
      <alignment horizontal="right"/>
    </xf>
    <xf numFmtId="165" fontId="15" fillId="0" borderId="2" xfId="0" applyNumberFormat="1" applyFont="1" applyBorder="1"/>
    <xf numFmtId="0" fontId="10" fillId="0" borderId="0" xfId="0" applyFont="1"/>
    <xf numFmtId="0" fontId="10" fillId="0" borderId="1" xfId="0" applyFont="1" applyBorder="1"/>
    <xf numFmtId="0" fontId="10" fillId="0" borderId="4" xfId="0" applyFont="1" applyBorder="1"/>
    <xf numFmtId="10" fontId="10" fillId="0" borderId="0" xfId="0" applyNumberFormat="1" applyFont="1"/>
    <xf numFmtId="166" fontId="13" fillId="0" borderId="6" xfId="0" applyNumberFormat="1" applyFont="1" applyBorder="1" applyAlignment="1">
      <alignment horizontal="right"/>
    </xf>
    <xf numFmtId="0" fontId="13" fillId="0" borderId="6" xfId="0" applyFont="1" applyBorder="1"/>
    <xf numFmtId="168" fontId="11" fillId="0" borderId="0" xfId="0" applyNumberFormat="1" applyFont="1"/>
    <xf numFmtId="167" fontId="10" fillId="0" borderId="1" xfId="0" applyNumberFormat="1" applyFont="1" applyBorder="1"/>
    <xf numFmtId="166" fontId="17" fillId="0" borderId="5" xfId="0" applyNumberFormat="1" applyFont="1" applyBorder="1" applyAlignment="1">
      <alignment horizontal="right"/>
    </xf>
    <xf numFmtId="165" fontId="5" fillId="0" borderId="4" xfId="0" applyNumberFormat="1" applyFont="1" applyBorder="1"/>
    <xf numFmtId="165" fontId="5" fillId="0" borderId="3" xfId="0" applyNumberFormat="1" applyFont="1" applyBorder="1"/>
    <xf numFmtId="165" fontId="5" fillId="0" borderId="5" xfId="0" applyNumberFormat="1" applyFont="1" applyBorder="1"/>
    <xf numFmtId="165" fontId="3" fillId="0" borderId="2" xfId="0" applyNumberFormat="1" applyFont="1" applyBorder="1"/>
    <xf numFmtId="165" fontId="3" fillId="0" borderId="0" xfId="0" applyNumberFormat="1" applyFont="1"/>
    <xf numFmtId="0" fontId="18" fillId="0" borderId="0" xfId="0" applyFont="1"/>
    <xf numFmtId="165" fontId="5" fillId="0" borderId="7" xfId="0" applyNumberFormat="1" applyFont="1" applyBorder="1"/>
    <xf numFmtId="165" fontId="5" fillId="0" borderId="8" xfId="0" applyNumberFormat="1" applyFont="1" applyBorder="1"/>
    <xf numFmtId="165" fontId="5" fillId="0" borderId="9" xfId="0" applyNumberFormat="1" applyFont="1" applyBorder="1"/>
    <xf numFmtId="0" fontId="5" fillId="0" borderId="7" xfId="0" applyFont="1" applyBorder="1"/>
    <xf numFmtId="0" fontId="2" fillId="0" borderId="8" xfId="0" applyFont="1" applyBorder="1"/>
    <xf numFmtId="165" fontId="10" fillId="0" borderId="0" xfId="0" applyNumberFormat="1" applyFont="1"/>
    <xf numFmtId="165" fontId="10" fillId="0" borderId="1" xfId="0" applyNumberFormat="1" applyFont="1" applyBorder="1"/>
    <xf numFmtId="165" fontId="2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2" fillId="0" borderId="0" xfId="0" applyNumberFormat="1" applyFont="1"/>
    <xf numFmtId="165" fontId="2" fillId="0" borderId="1" xfId="0" applyNumberFormat="1" applyFont="1" applyBorder="1" applyAlignment="1">
      <alignment horizontal="right"/>
    </xf>
    <xf numFmtId="167" fontId="5" fillId="0" borderId="0" xfId="0" applyNumberFormat="1" applyFont="1" applyAlignment="1">
      <alignment horizontal="right"/>
    </xf>
    <xf numFmtId="169" fontId="13" fillId="0" borderId="6" xfId="0" applyNumberFormat="1" applyFont="1" applyBorder="1"/>
    <xf numFmtId="166" fontId="8" fillId="0" borderId="6" xfId="0" applyNumberFormat="1" applyFont="1" applyBorder="1"/>
    <xf numFmtId="3" fontId="11" fillId="0" borderId="0" xfId="0" applyNumberFormat="1" applyFont="1" applyAlignment="1">
      <alignment horizontal="right"/>
    </xf>
    <xf numFmtId="0" fontId="2" fillId="2" borderId="0" xfId="0" applyFont="1" applyFill="1"/>
    <xf numFmtId="167" fontId="2" fillId="0" borderId="0" xfId="0" applyNumberFormat="1" applyFont="1"/>
    <xf numFmtId="166" fontId="14" fillId="3" borderId="0" xfId="0" applyNumberFormat="1" applyFont="1" applyFill="1" applyAlignment="1">
      <alignment horizontal="right"/>
    </xf>
    <xf numFmtId="0" fontId="19" fillId="2" borderId="0" xfId="0" applyFont="1" applyFill="1"/>
    <xf numFmtId="0" fontId="20" fillId="0" borderId="0" xfId="0" applyFont="1" applyAlignment="1">
      <alignment horizontal="center"/>
    </xf>
    <xf numFmtId="166" fontId="14" fillId="4" borderId="0" xfId="0" applyNumberFormat="1" applyFont="1" applyFill="1" applyAlignment="1">
      <alignment horizontal="right"/>
    </xf>
    <xf numFmtId="167" fontId="2" fillId="4" borderId="0" xfId="0" applyNumberFormat="1" applyFont="1" applyFill="1"/>
    <xf numFmtId="167" fontId="5" fillId="4" borderId="0" xfId="0" applyNumberFormat="1" applyFont="1" applyFill="1"/>
    <xf numFmtId="167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A1F8-EBFF-4E44-94AB-4E87C6A354D1}">
  <dimension ref="A1:K83"/>
  <sheetViews>
    <sheetView showGridLines="0" tabSelected="1" zoomScale="90" zoomScaleNormal="90" workbookViewId="0"/>
  </sheetViews>
  <sheetFormatPr defaultRowHeight="15" x14ac:dyDescent="0.25"/>
  <cols>
    <col min="1" max="1" width="3.625" style="3" customWidth="1"/>
    <col min="2" max="11" width="12.625" style="3" customWidth="1"/>
    <col min="12" max="16384" width="9" style="3"/>
  </cols>
  <sheetData>
    <row r="1" spans="1:8" customFormat="1" ht="15.75" x14ac:dyDescent="0.25"/>
    <row r="2" spans="1:8" s="1" customFormat="1" ht="21" x14ac:dyDescent="0.35">
      <c r="B2" s="2" t="s">
        <v>55</v>
      </c>
    </row>
    <row r="4" spans="1:8" x14ac:dyDescent="0.25">
      <c r="A4" s="3" t="s">
        <v>0</v>
      </c>
      <c r="B4" s="4" t="s">
        <v>1</v>
      </c>
      <c r="C4" s="4"/>
      <c r="D4" s="4"/>
      <c r="E4" s="4"/>
      <c r="F4" s="4"/>
      <c r="G4" s="4"/>
    </row>
    <row r="5" spans="1:8" x14ac:dyDescent="0.25">
      <c r="B5" s="5" t="s">
        <v>2</v>
      </c>
    </row>
    <row r="6" spans="1:8" x14ac:dyDescent="0.25">
      <c r="B6" s="3" t="s">
        <v>3</v>
      </c>
      <c r="D6" s="63">
        <f>WACC!E21</f>
        <v>6.6771388992666353E-2</v>
      </c>
    </row>
    <row r="7" spans="1:8" x14ac:dyDescent="0.25">
      <c r="B7" s="3" t="s">
        <v>4</v>
      </c>
      <c r="D7" s="62">
        <v>0.02</v>
      </c>
    </row>
    <row r="8" spans="1:8" x14ac:dyDescent="0.25">
      <c r="D8" s="6"/>
    </row>
    <row r="9" spans="1:8" x14ac:dyDescent="0.25">
      <c r="B9" s="5" t="s">
        <v>6</v>
      </c>
      <c r="D9" s="22" t="s">
        <v>36</v>
      </c>
      <c r="E9" s="22" t="s">
        <v>37</v>
      </c>
      <c r="F9" s="22" t="s">
        <v>38</v>
      </c>
      <c r="G9" s="22" t="s">
        <v>39</v>
      </c>
      <c r="H9" s="22" t="s">
        <v>40</v>
      </c>
    </row>
    <row r="10" spans="1:8" x14ac:dyDescent="0.25">
      <c r="B10" s="3" t="s">
        <v>7</v>
      </c>
      <c r="D10" s="19">
        <v>0.11</v>
      </c>
      <c r="E10" s="19">
        <v>0.115</v>
      </c>
      <c r="F10" s="19">
        <v>0.12</v>
      </c>
      <c r="G10" s="19">
        <v>0.115</v>
      </c>
      <c r="H10" s="19">
        <v>0.11</v>
      </c>
    </row>
    <row r="11" spans="1:8" x14ac:dyDescent="0.25">
      <c r="B11" s="3" t="s">
        <v>8</v>
      </c>
      <c r="D11" s="19">
        <v>0.3</v>
      </c>
      <c r="E11" s="19">
        <v>0.30499999999999999</v>
      </c>
      <c r="F11" s="19">
        <v>0.31</v>
      </c>
      <c r="G11" s="19">
        <v>0.315</v>
      </c>
      <c r="H11" s="19">
        <v>0.32</v>
      </c>
    </row>
    <row r="12" spans="1:8" x14ac:dyDescent="0.25">
      <c r="B12" s="3" t="s">
        <v>9</v>
      </c>
      <c r="D12" s="19">
        <v>1.6E-2</v>
      </c>
      <c r="E12" s="19">
        <v>1.7999999999999999E-2</v>
      </c>
      <c r="F12" s="19">
        <v>1.4E-2</v>
      </c>
      <c r="G12" s="19">
        <v>1.2999999999999999E-2</v>
      </c>
      <c r="H12" s="19">
        <v>1.2999999999999999E-2</v>
      </c>
    </row>
    <row r="13" spans="1:8" x14ac:dyDescent="0.25">
      <c r="B13" s="3" t="s">
        <v>10</v>
      </c>
      <c r="D13" s="19">
        <v>0.02</v>
      </c>
      <c r="E13" s="19">
        <v>2.1999999999999999E-2</v>
      </c>
      <c r="F13" s="19">
        <v>2.5999999999999999E-2</v>
      </c>
      <c r="G13" s="19">
        <v>3.1E-2</v>
      </c>
      <c r="H13" s="19">
        <v>1.2999999999999999E-2</v>
      </c>
    </row>
    <row r="14" spans="1:8" x14ac:dyDescent="0.25">
      <c r="B14" s="3" t="s">
        <v>11</v>
      </c>
      <c r="D14" s="19">
        <v>-3.0000000000000001E-3</v>
      </c>
      <c r="E14" s="19">
        <v>-3.0000000000000001E-3</v>
      </c>
      <c r="F14" s="19">
        <v>-3.0000000000000001E-3</v>
      </c>
      <c r="G14" s="19">
        <v>-3.0000000000000001E-3</v>
      </c>
      <c r="H14" s="19">
        <v>-3.0000000000000001E-3</v>
      </c>
    </row>
    <row r="15" spans="1:8" x14ac:dyDescent="0.25">
      <c r="B15" s="3" t="s">
        <v>35</v>
      </c>
      <c r="D15" s="19">
        <v>0.23</v>
      </c>
      <c r="E15" s="19">
        <v>0.23</v>
      </c>
      <c r="F15" s="19">
        <v>0.23</v>
      </c>
      <c r="G15" s="19">
        <v>0.23</v>
      </c>
      <c r="H15" s="19">
        <v>0.23</v>
      </c>
    </row>
    <row r="17" spans="1:11" x14ac:dyDescent="0.25">
      <c r="B17" s="49" t="s">
        <v>53</v>
      </c>
    </row>
    <row r="18" spans="1:11" x14ac:dyDescent="0.25">
      <c r="A18" s="3" t="s">
        <v>0</v>
      </c>
      <c r="B18" s="4" t="s">
        <v>12</v>
      </c>
      <c r="C18" s="9"/>
      <c r="D18" s="10">
        <v>45291</v>
      </c>
      <c r="E18" s="10">
        <f>EOMONTH(D18,12)</f>
        <v>45657</v>
      </c>
      <c r="F18" s="10">
        <f>EOMONTH(E18,12)</f>
        <v>46022</v>
      </c>
      <c r="G18" s="11">
        <f t="shared" ref="G18:K18" si="0">EOMONTH(F18,12)</f>
        <v>46387</v>
      </c>
      <c r="H18" s="10">
        <f t="shared" si="0"/>
        <v>46752</v>
      </c>
      <c r="I18" s="10">
        <f t="shared" si="0"/>
        <v>47118</v>
      </c>
      <c r="J18" s="10">
        <f t="shared" si="0"/>
        <v>47483</v>
      </c>
      <c r="K18" s="10">
        <f t="shared" si="0"/>
        <v>47848</v>
      </c>
    </row>
    <row r="19" spans="1:11" x14ac:dyDescent="0.25">
      <c r="B19" s="3" t="s">
        <v>13</v>
      </c>
      <c r="D19" s="23">
        <v>7140027</v>
      </c>
      <c r="E19" s="23">
        <v>7492709</v>
      </c>
      <c r="F19" s="23">
        <v>8294343</v>
      </c>
      <c r="G19" s="27">
        <f>F$19*(1+D$10)</f>
        <v>9206720.7300000004</v>
      </c>
      <c r="H19" s="18">
        <f t="shared" ref="H19:K19" si="1">G$19*(1+E$10)</f>
        <v>10265493.613950001</v>
      </c>
      <c r="I19" s="18">
        <f t="shared" si="1"/>
        <v>11497352.847624002</v>
      </c>
      <c r="J19" s="18">
        <f t="shared" si="1"/>
        <v>12819548.425100762</v>
      </c>
      <c r="K19" s="18">
        <f t="shared" si="1"/>
        <v>14229698.751861848</v>
      </c>
    </row>
    <row r="20" spans="1:11" x14ac:dyDescent="0.25">
      <c r="B20" s="7" t="s">
        <v>14</v>
      </c>
      <c r="D20" s="19" t="s">
        <v>34</v>
      </c>
      <c r="E20" s="20">
        <f>E$19/D$19-1</f>
        <v>4.9395051307228988E-2</v>
      </c>
      <c r="F20" s="20">
        <f t="shared" ref="F20:K20" si="2">F$19/E$19-1</f>
        <v>0.106988540459799</v>
      </c>
      <c r="G20" s="28">
        <f t="shared" si="2"/>
        <v>0.1100000000000001</v>
      </c>
      <c r="H20" s="20">
        <f t="shared" si="2"/>
        <v>0.11499999999999999</v>
      </c>
      <c r="I20" s="20">
        <f t="shared" si="2"/>
        <v>0.12000000000000011</v>
      </c>
      <c r="J20" s="20">
        <f t="shared" si="2"/>
        <v>0.11499999999999999</v>
      </c>
      <c r="K20" s="20">
        <f t="shared" si="2"/>
        <v>0.1100000000000001</v>
      </c>
    </row>
    <row r="21" spans="1:11" x14ac:dyDescent="0.25">
      <c r="G21" s="8"/>
    </row>
    <row r="22" spans="1:11" x14ac:dyDescent="0.25">
      <c r="B22" s="3" t="s">
        <v>15</v>
      </c>
      <c r="D22" s="23">
        <v>1953355</v>
      </c>
      <c r="E22" s="64">
        <v>1930294</v>
      </c>
      <c r="F22" s="64">
        <v>2419354</v>
      </c>
      <c r="G22" s="27">
        <f>G$19*D$11</f>
        <v>2762016.219</v>
      </c>
      <c r="H22" s="18">
        <f t="shared" ref="H22:K22" si="3">H$19*E$11</f>
        <v>3130975.5522547504</v>
      </c>
      <c r="I22" s="18">
        <f t="shared" si="3"/>
        <v>3564179.3827634407</v>
      </c>
      <c r="J22" s="18">
        <f t="shared" si="3"/>
        <v>4038157.7539067403</v>
      </c>
      <c r="K22" s="18">
        <f t="shared" si="3"/>
        <v>4553503.6005957918</v>
      </c>
    </row>
    <row r="23" spans="1:11" x14ac:dyDescent="0.25">
      <c r="B23" s="7" t="s">
        <v>16</v>
      </c>
      <c r="D23" s="19">
        <f>D$22/D$19</f>
        <v>0.27357809711363834</v>
      </c>
      <c r="E23" s="19">
        <f t="shared" ref="E23:K23" si="4">E$22/E$19</f>
        <v>0.25762297721691846</v>
      </c>
      <c r="F23" s="19">
        <f t="shared" si="4"/>
        <v>0.29168723791625206</v>
      </c>
      <c r="G23" s="29">
        <f t="shared" si="4"/>
        <v>0.3</v>
      </c>
      <c r="H23" s="19">
        <f t="shared" si="4"/>
        <v>0.30499999999999999</v>
      </c>
      <c r="I23" s="19">
        <f t="shared" si="4"/>
        <v>0.31</v>
      </c>
      <c r="J23" s="19">
        <f t="shared" si="4"/>
        <v>0.315</v>
      </c>
      <c r="K23" s="19">
        <f t="shared" si="4"/>
        <v>0.32</v>
      </c>
    </row>
    <row r="24" spans="1:11" x14ac:dyDescent="0.25">
      <c r="G24" s="8"/>
    </row>
    <row r="25" spans="1:11" x14ac:dyDescent="0.25">
      <c r="B25" s="3" t="s">
        <v>17</v>
      </c>
      <c r="D25" s="18">
        <f>D22*D26</f>
        <v>413144.07975027099</v>
      </c>
      <c r="E25" s="18">
        <f t="shared" ref="E25:F25" si="5">E22*E26</f>
        <v>466123.9416514741</v>
      </c>
      <c r="F25" s="18">
        <f t="shared" si="5"/>
        <v>562411.12806255231</v>
      </c>
      <c r="G25" s="27">
        <f>G$22*D$15</f>
        <v>635263.73037</v>
      </c>
      <c r="H25" s="18">
        <f t="shared" ref="H25:K25" si="6">H$22*E$15</f>
        <v>720124.37701859267</v>
      </c>
      <c r="I25" s="18">
        <f t="shared" si="6"/>
        <v>819761.25803559145</v>
      </c>
      <c r="J25" s="18">
        <f t="shared" si="6"/>
        <v>928776.28339855035</v>
      </c>
      <c r="K25" s="18">
        <f t="shared" si="6"/>
        <v>1047305.8281370322</v>
      </c>
    </row>
    <row r="26" spans="1:11" x14ac:dyDescent="0.25">
      <c r="B26" s="7" t="s">
        <v>16</v>
      </c>
      <c r="D26" s="25">
        <v>0.21150486201958732</v>
      </c>
      <c r="E26" s="26">
        <v>0.24147821091060434</v>
      </c>
      <c r="F26" s="26">
        <v>0.23246334685314854</v>
      </c>
      <c r="G26" s="30">
        <f>D$15</f>
        <v>0.23</v>
      </c>
      <c r="H26" s="33">
        <f t="shared" ref="H26:K26" si="7">E$15</f>
        <v>0.23</v>
      </c>
      <c r="I26" s="33">
        <f t="shared" si="7"/>
        <v>0.23</v>
      </c>
      <c r="J26" s="33">
        <f t="shared" si="7"/>
        <v>0.23</v>
      </c>
      <c r="K26" s="33">
        <f t="shared" si="7"/>
        <v>0.23</v>
      </c>
    </row>
    <row r="27" spans="1:11" x14ac:dyDescent="0.25">
      <c r="G27" s="8"/>
    </row>
    <row r="28" spans="1:11" x14ac:dyDescent="0.25">
      <c r="A28" s="3" t="s">
        <v>0</v>
      </c>
      <c r="B28" s="4" t="s">
        <v>18</v>
      </c>
      <c r="C28" s="4"/>
      <c r="D28" s="10">
        <v>45291</v>
      </c>
      <c r="E28" s="10">
        <f>EOMONTH(D28,12)</f>
        <v>45657</v>
      </c>
      <c r="F28" s="10">
        <f>EOMONTH(E28,12)</f>
        <v>46022</v>
      </c>
      <c r="G28" s="11">
        <f t="shared" ref="G28:K28" si="8">EOMONTH(F28,12)</f>
        <v>46387</v>
      </c>
      <c r="H28" s="10">
        <f t="shared" si="8"/>
        <v>46752</v>
      </c>
      <c r="I28" s="10">
        <f t="shared" si="8"/>
        <v>47118</v>
      </c>
      <c r="J28" s="10">
        <f t="shared" si="8"/>
        <v>47483</v>
      </c>
      <c r="K28" s="10">
        <f t="shared" si="8"/>
        <v>47848</v>
      </c>
    </row>
    <row r="29" spans="1:11" ht="15.75" x14ac:dyDescent="0.25">
      <c r="B29" s="3" t="s">
        <v>19</v>
      </c>
      <c r="D29" s="24">
        <v>68898</v>
      </c>
      <c r="E29" s="24">
        <v>80434</v>
      </c>
      <c r="F29" s="24">
        <v>114441</v>
      </c>
      <c r="G29" s="34">
        <f>G$19*D$12</f>
        <v>147307.53168000001</v>
      </c>
      <c r="H29" s="31">
        <f t="shared" ref="H29:K29" si="9">H$19*E$12</f>
        <v>184778.88505109999</v>
      </c>
      <c r="I29" s="31">
        <f t="shared" si="9"/>
        <v>160962.93986673604</v>
      </c>
      <c r="J29" s="31">
        <f t="shared" si="9"/>
        <v>166654.1295263099</v>
      </c>
      <c r="K29" s="31">
        <f t="shared" si="9"/>
        <v>184986.08377420402</v>
      </c>
    </row>
    <row r="30" spans="1:11" x14ac:dyDescent="0.25">
      <c r="B30" s="7" t="s">
        <v>16</v>
      </c>
      <c r="D30" s="19">
        <f>D$29/D$19</f>
        <v>9.6495433420629925E-3</v>
      </c>
      <c r="E30" s="19">
        <f t="shared" ref="E30:K30" si="10">E$29/E$19</f>
        <v>1.0734969154680904E-2</v>
      </c>
      <c r="F30" s="19">
        <f t="shared" si="10"/>
        <v>1.3797476183466249E-2</v>
      </c>
      <c r="G30" s="29">
        <f t="shared" si="10"/>
        <v>1.6E-2</v>
      </c>
      <c r="H30" s="19">
        <f t="shared" si="10"/>
        <v>1.7999999999999999E-2</v>
      </c>
      <c r="I30" s="19">
        <f t="shared" si="10"/>
        <v>1.4E-2</v>
      </c>
      <c r="J30" s="19">
        <f t="shared" si="10"/>
        <v>1.2999999999999999E-2</v>
      </c>
      <c r="K30" s="19">
        <f t="shared" si="10"/>
        <v>1.2999999999999999E-2</v>
      </c>
    </row>
    <row r="31" spans="1:11" x14ac:dyDescent="0.25">
      <c r="G31" s="8"/>
    </row>
    <row r="32" spans="1:11" ht="15.75" x14ac:dyDescent="0.25">
      <c r="B32" s="3" t="s">
        <v>20</v>
      </c>
      <c r="D32" s="24">
        <f>-234724*-1</f>
        <v>234724</v>
      </c>
      <c r="E32" s="24">
        <f>-306434*-1</f>
        <v>306434</v>
      </c>
      <c r="F32" s="24">
        <f>-157529*-1</f>
        <v>157529</v>
      </c>
      <c r="G32" s="34">
        <f>G$19*D$13</f>
        <v>184134.41460000002</v>
      </c>
      <c r="H32" s="31">
        <f t="shared" ref="H32:K32" si="11">H$19*E$13</f>
        <v>225840.85950690001</v>
      </c>
      <c r="I32" s="31">
        <f t="shared" si="11"/>
        <v>298931.17403822404</v>
      </c>
      <c r="J32" s="31">
        <f t="shared" si="11"/>
        <v>397406.00117812364</v>
      </c>
      <c r="K32" s="31">
        <f t="shared" si="11"/>
        <v>184986.08377420402</v>
      </c>
    </row>
    <row r="33" spans="1:11" x14ac:dyDescent="0.25">
      <c r="B33" s="7" t="s">
        <v>16</v>
      </c>
      <c r="D33" s="19">
        <f>D$32/D$19</f>
        <v>3.2874385489018457E-2</v>
      </c>
      <c r="E33" s="19">
        <f t="shared" ref="E33:K33" si="12">E$32/E$19</f>
        <v>4.0897624610804983E-2</v>
      </c>
      <c r="F33" s="19">
        <f t="shared" si="12"/>
        <v>1.899234213005177E-2</v>
      </c>
      <c r="G33" s="29">
        <f t="shared" si="12"/>
        <v>0.02</v>
      </c>
      <c r="H33" s="19">
        <f t="shared" si="12"/>
        <v>2.1999999999999999E-2</v>
      </c>
      <c r="I33" s="19">
        <f t="shared" si="12"/>
        <v>2.5999999999999999E-2</v>
      </c>
      <c r="J33" s="19">
        <f t="shared" si="12"/>
        <v>3.1E-2</v>
      </c>
      <c r="K33" s="19">
        <f t="shared" si="12"/>
        <v>1.2999999999999999E-2</v>
      </c>
    </row>
    <row r="34" spans="1:11" x14ac:dyDescent="0.25">
      <c r="D34" s="18"/>
      <c r="E34" s="18"/>
      <c r="F34" s="18"/>
      <c r="G34" s="8"/>
    </row>
    <row r="35" spans="1:11" x14ac:dyDescent="0.25">
      <c r="B35" s="3" t="s">
        <v>21</v>
      </c>
      <c r="D35" s="32">
        <v>-42787</v>
      </c>
      <c r="E35" s="32">
        <v>95140</v>
      </c>
      <c r="F35" s="32">
        <v>-126897</v>
      </c>
      <c r="G35" s="27">
        <f>G$19*D$14</f>
        <v>-27620.162190000003</v>
      </c>
      <c r="H35" s="18">
        <f t="shared" ref="H35:K35" si="13">H$19*E$14</f>
        <v>-30796.480841850003</v>
      </c>
      <c r="I35" s="18">
        <f t="shared" si="13"/>
        <v>-34492.058542872008</v>
      </c>
      <c r="J35" s="18">
        <f t="shared" si="13"/>
        <v>-38458.64527530229</v>
      </c>
      <c r="K35" s="18">
        <f t="shared" si="13"/>
        <v>-42689.096255585544</v>
      </c>
    </row>
    <row r="36" spans="1:11" x14ac:dyDescent="0.25">
      <c r="B36" s="7" t="s">
        <v>16</v>
      </c>
      <c r="D36" s="19">
        <f>D$35/D$19</f>
        <v>-5.9925543698924385E-3</v>
      </c>
      <c r="E36" s="19">
        <f t="shared" ref="E36:K36" si="14">E$35/E$19</f>
        <v>1.26976771685648E-2</v>
      </c>
      <c r="F36" s="19">
        <f t="shared" si="14"/>
        <v>-1.5299222614738744E-2</v>
      </c>
      <c r="G36" s="29">
        <f t="shared" si="14"/>
        <v>-3.0000000000000001E-3</v>
      </c>
      <c r="H36" s="19">
        <f t="shared" si="14"/>
        <v>-3.0000000000000001E-3</v>
      </c>
      <c r="I36" s="19">
        <f t="shared" si="14"/>
        <v>-3.0000000000000001E-3</v>
      </c>
      <c r="J36" s="19">
        <f t="shared" si="14"/>
        <v>-3.0000000000000001E-3</v>
      </c>
      <c r="K36" s="19">
        <f t="shared" si="14"/>
        <v>-3.0000000000000001E-3</v>
      </c>
    </row>
    <row r="37" spans="1:11" x14ac:dyDescent="0.25">
      <c r="B37" s="7"/>
      <c r="D37" s="19"/>
      <c r="E37" s="19"/>
      <c r="F37" s="19"/>
      <c r="G37" s="29"/>
      <c r="H37" s="19"/>
      <c r="I37" s="19"/>
      <c r="J37" s="19"/>
      <c r="K37" s="19"/>
    </row>
    <row r="38" spans="1:11" x14ac:dyDescent="0.25">
      <c r="D38" s="21"/>
      <c r="E38" s="21"/>
      <c r="F38" s="21"/>
      <c r="G38" s="47">
        <v>1</v>
      </c>
      <c r="H38" s="48">
        <v>2</v>
      </c>
      <c r="I38" s="48">
        <v>3</v>
      </c>
      <c r="J38" s="48">
        <v>4</v>
      </c>
      <c r="K38" s="48">
        <v>5</v>
      </c>
    </row>
    <row r="39" spans="1:11" x14ac:dyDescent="0.25">
      <c r="A39" s="3" t="s">
        <v>0</v>
      </c>
      <c r="B39" s="4" t="s">
        <v>23</v>
      </c>
      <c r="C39" s="4"/>
      <c r="D39" s="10">
        <v>45291</v>
      </c>
      <c r="E39" s="10">
        <f>EOMONTH(D39,12)</f>
        <v>45657</v>
      </c>
      <c r="F39" s="10">
        <f>EOMONTH(E39,12)</f>
        <v>46022</v>
      </c>
      <c r="G39" s="11">
        <f t="shared" ref="G39:K39" si="15">EOMONTH(F39,12)</f>
        <v>46387</v>
      </c>
      <c r="H39" s="10">
        <f t="shared" si="15"/>
        <v>46752</v>
      </c>
      <c r="I39" s="10">
        <f t="shared" si="15"/>
        <v>47118</v>
      </c>
      <c r="J39" s="10">
        <f t="shared" si="15"/>
        <v>47483</v>
      </c>
      <c r="K39" s="10">
        <f t="shared" si="15"/>
        <v>47848</v>
      </c>
    </row>
    <row r="40" spans="1:11" x14ac:dyDescent="0.25">
      <c r="B40" s="3" t="s">
        <v>13</v>
      </c>
      <c r="D40" s="23">
        <v>7140027</v>
      </c>
      <c r="E40" s="23">
        <v>7492709</v>
      </c>
      <c r="F40" s="23">
        <v>8294343</v>
      </c>
      <c r="G40" s="27">
        <f>F$19*(1+D$10)</f>
        <v>9206720.7300000004</v>
      </c>
      <c r="H40" s="18">
        <f t="shared" ref="H40" si="16">G$19*(1+E$10)</f>
        <v>10265493.613950001</v>
      </c>
      <c r="I40" s="18">
        <f t="shared" ref="I40" si="17">H$19*(1+F$10)</f>
        <v>11497352.847624002</v>
      </c>
      <c r="J40" s="18">
        <f t="shared" ref="J40" si="18">I$19*(1+G$10)</f>
        <v>12819548.425100762</v>
      </c>
      <c r="K40" s="18">
        <f t="shared" ref="K40" si="19">J$19*(1+H$10)</f>
        <v>14229698.751861848</v>
      </c>
    </row>
    <row r="41" spans="1:11" x14ac:dyDescent="0.25">
      <c r="B41" s="7" t="s">
        <v>14</v>
      </c>
      <c r="D41" s="19" t="s">
        <v>34</v>
      </c>
      <c r="E41" s="20">
        <f>E$19/D$19-1</f>
        <v>4.9395051307228988E-2</v>
      </c>
      <c r="F41" s="20">
        <f t="shared" ref="F41:K41" si="20">F$19/E$19-1</f>
        <v>0.106988540459799</v>
      </c>
      <c r="G41" s="28">
        <f t="shared" si="20"/>
        <v>0.1100000000000001</v>
      </c>
      <c r="H41" s="20">
        <f t="shared" si="20"/>
        <v>0.11499999999999999</v>
      </c>
      <c r="I41" s="20">
        <f t="shared" si="20"/>
        <v>0.12000000000000011</v>
      </c>
      <c r="J41" s="20">
        <f t="shared" si="20"/>
        <v>0.11499999999999999</v>
      </c>
      <c r="K41" s="20">
        <f t="shared" si="20"/>
        <v>0.1100000000000001</v>
      </c>
    </row>
    <row r="42" spans="1:11" x14ac:dyDescent="0.25">
      <c r="G42" s="8"/>
    </row>
    <row r="43" spans="1:11" ht="15.75" x14ac:dyDescent="0.25">
      <c r="B43" s="3" t="s">
        <v>15</v>
      </c>
      <c r="D43" s="23">
        <v>1953355</v>
      </c>
      <c r="E43" s="24">
        <v>1930294</v>
      </c>
      <c r="F43" s="24">
        <v>2419354</v>
      </c>
      <c r="G43" s="27">
        <f>G$19*D$11</f>
        <v>2762016.219</v>
      </c>
      <c r="H43" s="18">
        <f t="shared" ref="H43" si="21">H$19*E$11</f>
        <v>3130975.5522547504</v>
      </c>
      <c r="I43" s="18">
        <f t="shared" ref="I43" si="22">I$19*F$11</f>
        <v>3564179.3827634407</v>
      </c>
      <c r="J43" s="18">
        <f t="shared" ref="J43" si="23">J$19*G$11</f>
        <v>4038157.7539067403</v>
      </c>
      <c r="K43" s="18">
        <f t="shared" ref="K43" si="24">K$19*H$11</f>
        <v>4553503.6005957918</v>
      </c>
    </row>
    <row r="44" spans="1:11" x14ac:dyDescent="0.25">
      <c r="B44" s="7" t="s">
        <v>16</v>
      </c>
      <c r="D44" s="19">
        <f>D$22/D$19</f>
        <v>0.27357809711363834</v>
      </c>
      <c r="E44" s="19">
        <f t="shared" ref="E44:K44" si="25">E$22/E$19</f>
        <v>0.25762297721691846</v>
      </c>
      <c r="F44" s="19">
        <f t="shared" si="25"/>
        <v>0.29168723791625206</v>
      </c>
      <c r="G44" s="29">
        <f t="shared" si="25"/>
        <v>0.3</v>
      </c>
      <c r="H44" s="19">
        <f t="shared" si="25"/>
        <v>0.30499999999999999</v>
      </c>
      <c r="I44" s="19">
        <f t="shared" si="25"/>
        <v>0.31</v>
      </c>
      <c r="J44" s="19">
        <f t="shared" si="25"/>
        <v>0.315</v>
      </c>
      <c r="K44" s="19">
        <f t="shared" si="25"/>
        <v>0.32</v>
      </c>
    </row>
    <row r="45" spans="1:11" x14ac:dyDescent="0.25">
      <c r="G45" s="8"/>
    </row>
    <row r="46" spans="1:11" x14ac:dyDescent="0.25">
      <c r="B46" s="3" t="s">
        <v>17</v>
      </c>
      <c r="D46" s="18">
        <f>D43*D47</f>
        <v>413144.07975027099</v>
      </c>
      <c r="E46" s="18">
        <f t="shared" ref="E46" si="26">E43*E47</f>
        <v>466123.9416514741</v>
      </c>
      <c r="F46" s="18">
        <f t="shared" ref="F46" si="27">F43*F47</f>
        <v>562411.12806255231</v>
      </c>
      <c r="G46" s="27">
        <f>G$22*D$15</f>
        <v>635263.73037</v>
      </c>
      <c r="H46" s="18">
        <f t="shared" ref="H46" si="28">H$22*E$15</f>
        <v>720124.37701859267</v>
      </c>
      <c r="I46" s="18">
        <f t="shared" ref="I46" si="29">I$22*F$15</f>
        <v>819761.25803559145</v>
      </c>
      <c r="J46" s="18">
        <f t="shared" ref="J46" si="30">J$22*G$15</f>
        <v>928776.28339855035</v>
      </c>
      <c r="K46" s="18">
        <f t="shared" ref="K46" si="31">K$22*H$15</f>
        <v>1047305.8281370322</v>
      </c>
    </row>
    <row r="47" spans="1:11" x14ac:dyDescent="0.25">
      <c r="B47" s="7" t="s">
        <v>16</v>
      </c>
      <c r="D47" s="25">
        <v>0.21150486201958732</v>
      </c>
      <c r="E47" s="26">
        <v>0.24147821091060434</v>
      </c>
      <c r="F47" s="26">
        <v>0.23246334685314854</v>
      </c>
      <c r="G47" s="30">
        <f>D$15</f>
        <v>0.23</v>
      </c>
      <c r="H47" s="33">
        <f t="shared" ref="H47" si="32">E$15</f>
        <v>0.23</v>
      </c>
      <c r="I47" s="33">
        <f t="shared" ref="I47" si="33">F$15</f>
        <v>0.23</v>
      </c>
      <c r="J47" s="33">
        <f t="shared" ref="J47" si="34">G$15</f>
        <v>0.23</v>
      </c>
      <c r="K47" s="33">
        <f t="shared" ref="K47" si="35">H$15</f>
        <v>0.23</v>
      </c>
    </row>
    <row r="48" spans="1:11" ht="15.75" x14ac:dyDescent="0.25">
      <c r="D48" s="24"/>
      <c r="E48" s="24"/>
      <c r="F48" s="24"/>
      <c r="G48" s="34"/>
      <c r="H48" s="31"/>
      <c r="I48" s="31"/>
      <c r="J48" s="31"/>
      <c r="K48" s="31"/>
    </row>
    <row r="49" spans="1:11" x14ac:dyDescent="0.25">
      <c r="B49" s="12" t="s">
        <v>22</v>
      </c>
      <c r="C49" s="13"/>
      <c r="D49" s="44">
        <f>D43-D46</f>
        <v>1540210.920249729</v>
      </c>
      <c r="E49" s="44">
        <f t="shared" ref="E49:F49" si="36">E43-E46</f>
        <v>1464170.0583485258</v>
      </c>
      <c r="F49" s="44">
        <f t="shared" si="36"/>
        <v>1856942.8719374477</v>
      </c>
      <c r="G49" s="45">
        <f>G43-G46</f>
        <v>2126752.48863</v>
      </c>
      <c r="H49" s="44">
        <f t="shared" ref="H49:K49" si="37">H43-H46</f>
        <v>2410851.1752361576</v>
      </c>
      <c r="I49" s="44">
        <f t="shared" si="37"/>
        <v>2744418.1247278494</v>
      </c>
      <c r="J49" s="44">
        <f t="shared" si="37"/>
        <v>3109381.4705081899</v>
      </c>
      <c r="K49" s="46">
        <f t="shared" si="37"/>
        <v>3506197.7724587596</v>
      </c>
    </row>
    <row r="50" spans="1:11" x14ac:dyDescent="0.25">
      <c r="G50" s="8"/>
    </row>
    <row r="51" spans="1:11" ht="15.75" x14ac:dyDescent="0.25">
      <c r="B51" s="3" t="s">
        <v>19</v>
      </c>
      <c r="D51" s="24">
        <v>68898</v>
      </c>
      <c r="E51" s="24">
        <v>80434</v>
      </c>
      <c r="F51" s="24">
        <v>114441</v>
      </c>
      <c r="G51" s="34">
        <f>G$19*D$12</f>
        <v>147307.53168000001</v>
      </c>
      <c r="H51" s="31">
        <f t="shared" ref="H51" si="38">H$19*E$12</f>
        <v>184778.88505109999</v>
      </c>
      <c r="I51" s="31">
        <f t="shared" ref="I51" si="39">I$19*F$12</f>
        <v>160962.93986673604</v>
      </c>
      <c r="J51" s="31">
        <f t="shared" ref="J51" si="40">J$19*G$12</f>
        <v>166654.1295263099</v>
      </c>
      <c r="K51" s="31">
        <f t="shared" ref="K51" si="41">K$19*H$12</f>
        <v>184986.08377420402</v>
      </c>
    </row>
    <row r="52" spans="1:11" x14ac:dyDescent="0.25">
      <c r="B52" s="7" t="s">
        <v>16</v>
      </c>
      <c r="D52" s="19">
        <f>D$29/D$19</f>
        <v>9.6495433420629925E-3</v>
      </c>
      <c r="E52" s="19">
        <f t="shared" ref="E52:K52" si="42">E$29/E$19</f>
        <v>1.0734969154680904E-2</v>
      </c>
      <c r="F52" s="19">
        <f t="shared" si="42"/>
        <v>1.3797476183466249E-2</v>
      </c>
      <c r="G52" s="29">
        <f t="shared" si="42"/>
        <v>1.6E-2</v>
      </c>
      <c r="H52" s="19">
        <f t="shared" si="42"/>
        <v>1.7999999999999999E-2</v>
      </c>
      <c r="I52" s="19">
        <f t="shared" si="42"/>
        <v>1.4E-2</v>
      </c>
      <c r="J52" s="19">
        <f t="shared" si="42"/>
        <v>1.2999999999999999E-2</v>
      </c>
      <c r="K52" s="19">
        <f t="shared" si="42"/>
        <v>1.2999999999999999E-2</v>
      </c>
    </row>
    <row r="53" spans="1:11" x14ac:dyDescent="0.25">
      <c r="G53" s="8"/>
    </row>
    <row r="54" spans="1:11" ht="15.75" x14ac:dyDescent="0.25">
      <c r="B54" s="3" t="s">
        <v>20</v>
      </c>
      <c r="D54" s="24">
        <f>-234724*-1</f>
        <v>234724</v>
      </c>
      <c r="E54" s="24">
        <f>-306434*-1</f>
        <v>306434</v>
      </c>
      <c r="F54" s="24">
        <f>-157529*-1</f>
        <v>157529</v>
      </c>
      <c r="G54" s="34">
        <f>G$19*D$13</f>
        <v>184134.41460000002</v>
      </c>
      <c r="H54" s="31">
        <f t="shared" ref="H54" si="43">H$19*E$13</f>
        <v>225840.85950690001</v>
      </c>
      <c r="I54" s="31">
        <f t="shared" ref="I54" si="44">I$19*F$13</f>
        <v>298931.17403822404</v>
      </c>
      <c r="J54" s="31">
        <f t="shared" ref="J54" si="45">J$19*G$13</f>
        <v>397406.00117812364</v>
      </c>
      <c r="K54" s="31">
        <f t="shared" ref="K54" si="46">K$19*H$13</f>
        <v>184986.08377420402</v>
      </c>
    </row>
    <row r="55" spans="1:11" x14ac:dyDescent="0.25">
      <c r="B55" s="7" t="s">
        <v>16</v>
      </c>
      <c r="D55" s="19">
        <f>D$32/D$19</f>
        <v>3.2874385489018457E-2</v>
      </c>
      <c r="E55" s="19">
        <f t="shared" ref="E55:K55" si="47">E$32/E$19</f>
        <v>4.0897624610804983E-2</v>
      </c>
      <c r="F55" s="19">
        <f t="shared" si="47"/>
        <v>1.899234213005177E-2</v>
      </c>
      <c r="G55" s="29">
        <f t="shared" si="47"/>
        <v>0.02</v>
      </c>
      <c r="H55" s="19">
        <f t="shared" si="47"/>
        <v>2.1999999999999999E-2</v>
      </c>
      <c r="I55" s="19">
        <f t="shared" si="47"/>
        <v>2.5999999999999999E-2</v>
      </c>
      <c r="J55" s="19">
        <f t="shared" si="47"/>
        <v>3.1E-2</v>
      </c>
      <c r="K55" s="19">
        <f t="shared" si="47"/>
        <v>1.2999999999999999E-2</v>
      </c>
    </row>
    <row r="56" spans="1:11" x14ac:dyDescent="0.25">
      <c r="D56" s="18"/>
      <c r="E56" s="18"/>
      <c r="F56" s="18"/>
      <c r="G56" s="8"/>
    </row>
    <row r="57" spans="1:11" x14ac:dyDescent="0.25">
      <c r="B57" s="3" t="s">
        <v>21</v>
      </c>
      <c r="D57" s="32">
        <v>-42787</v>
      </c>
      <c r="E57" s="32">
        <v>95140</v>
      </c>
      <c r="F57" s="32">
        <v>-126897</v>
      </c>
      <c r="G57" s="27">
        <f>G$19*D$14</f>
        <v>-27620.162190000003</v>
      </c>
      <c r="H57" s="18">
        <f t="shared" ref="H57" si="48">H$19*E$14</f>
        <v>-30796.480841850003</v>
      </c>
      <c r="I57" s="18">
        <f t="shared" ref="I57" si="49">I$19*F$14</f>
        <v>-34492.058542872008</v>
      </c>
      <c r="J57" s="18">
        <f t="shared" ref="J57" si="50">J$19*G$14</f>
        <v>-38458.64527530229</v>
      </c>
      <c r="K57" s="18">
        <f t="shared" ref="K57" si="51">K$19*H$14</f>
        <v>-42689.096255585544</v>
      </c>
    </row>
    <row r="58" spans="1:11" x14ac:dyDescent="0.25">
      <c r="B58" s="7" t="s">
        <v>16</v>
      </c>
      <c r="D58" s="19">
        <f>D$35/D$19</f>
        <v>-5.9925543698924385E-3</v>
      </c>
      <c r="E58" s="19">
        <f t="shared" ref="E58:K58" si="52">E$35/E$19</f>
        <v>1.26976771685648E-2</v>
      </c>
      <c r="F58" s="19">
        <f t="shared" si="52"/>
        <v>-1.5299222614738744E-2</v>
      </c>
      <c r="G58" s="29">
        <f t="shared" si="52"/>
        <v>-3.0000000000000001E-3</v>
      </c>
      <c r="H58" s="19">
        <f t="shared" si="52"/>
        <v>-3.0000000000000001E-3</v>
      </c>
      <c r="I58" s="19">
        <f t="shared" si="52"/>
        <v>-3.0000000000000001E-3</v>
      </c>
      <c r="J58" s="19">
        <f t="shared" si="52"/>
        <v>-3.0000000000000001E-3</v>
      </c>
      <c r="K58" s="19">
        <f t="shared" si="52"/>
        <v>-3.0000000000000001E-3</v>
      </c>
    </row>
    <row r="59" spans="1:11" x14ac:dyDescent="0.25">
      <c r="G59" s="8"/>
    </row>
    <row r="60" spans="1:11" x14ac:dyDescent="0.25">
      <c r="B60" s="53" t="s">
        <v>24</v>
      </c>
      <c r="C60" s="54"/>
      <c r="D60" s="51">
        <f>D49+D51-D54+D57</f>
        <v>1331597.920249729</v>
      </c>
      <c r="E60" s="51">
        <f t="shared" ref="E60:F60" si="53">E49+E51-E54+E57</f>
        <v>1333310.0583485258</v>
      </c>
      <c r="F60" s="51">
        <f t="shared" si="53"/>
        <v>1686957.8719374477</v>
      </c>
      <c r="G60" s="50">
        <f>G49+G51-G54+G57</f>
        <v>2062305.44352</v>
      </c>
      <c r="H60" s="51">
        <f t="shared" ref="H60:K60" si="54">H49+H51-H54+H57</f>
        <v>2338992.7199385078</v>
      </c>
      <c r="I60" s="51">
        <f>I49+I51-I54+I57</f>
        <v>2571957.8320134897</v>
      </c>
      <c r="J60" s="51">
        <f t="shared" si="54"/>
        <v>2840170.9535810738</v>
      </c>
      <c r="K60" s="52">
        <f t="shared" si="54"/>
        <v>3463508.6762031741</v>
      </c>
    </row>
    <row r="61" spans="1:11" x14ac:dyDescent="0.25">
      <c r="B61" s="12" t="s">
        <v>25</v>
      </c>
      <c r="C61" s="13"/>
      <c r="D61" s="13"/>
      <c r="E61" s="13"/>
      <c r="F61" s="13"/>
      <c r="G61" s="45">
        <f>G60/(1+$D$6)^G38</f>
        <v>1933221.5550582013</v>
      </c>
      <c r="H61" s="44">
        <f t="shared" ref="H61:K61" si="55">H60/(1+$D$6)^H38</f>
        <v>2055351.7231726681</v>
      </c>
      <c r="I61" s="44">
        <f t="shared" si="55"/>
        <v>2118603.8930269126</v>
      </c>
      <c r="J61" s="44">
        <f>J60/(1+$D$6)^J38</f>
        <v>2193103.0774840689</v>
      </c>
      <c r="K61" s="46">
        <f t="shared" si="55"/>
        <v>2507029.7252859906</v>
      </c>
    </row>
    <row r="64" spans="1:11" x14ac:dyDescent="0.25">
      <c r="A64" s="3" t="s">
        <v>0</v>
      </c>
      <c r="B64" s="3" t="s">
        <v>26</v>
      </c>
      <c r="K64" s="55">
        <f>(K60*(1+D7)/(D6-D7))</f>
        <v>75532904.320655718</v>
      </c>
    </row>
    <row r="65" spans="1:11" x14ac:dyDescent="0.25">
      <c r="B65" s="14" t="s">
        <v>27</v>
      </c>
      <c r="C65" s="14"/>
      <c r="D65" s="14"/>
      <c r="E65" s="14"/>
      <c r="F65" s="14"/>
      <c r="G65" s="14"/>
      <c r="H65" s="14"/>
      <c r="I65" s="14"/>
      <c r="J65" s="14"/>
      <c r="K65" s="56">
        <f>K64/(1+D6)^K38</f>
        <v>54673816.084287539</v>
      </c>
    </row>
    <row r="66" spans="1:11" x14ac:dyDescent="0.25">
      <c r="B66" s="5" t="s">
        <v>28</v>
      </c>
      <c r="K66" s="58">
        <f>SUM(G61:K61,K65)</f>
        <v>65481126.058315381</v>
      </c>
    </row>
    <row r="67" spans="1:11" x14ac:dyDescent="0.25">
      <c r="B67" s="15" t="s">
        <v>29</v>
      </c>
      <c r="K67" s="59">
        <v>2765201</v>
      </c>
    </row>
    <row r="68" spans="1:11" x14ac:dyDescent="0.25">
      <c r="B68" s="16" t="s">
        <v>30</v>
      </c>
      <c r="C68" s="14"/>
      <c r="D68" s="14"/>
      <c r="E68" s="14"/>
      <c r="F68" s="14"/>
      <c r="G68" s="14"/>
      <c r="H68" s="14"/>
      <c r="I68" s="14"/>
      <c r="J68" s="14"/>
      <c r="K68" s="17">
        <v>0</v>
      </c>
    </row>
    <row r="69" spans="1:11" x14ac:dyDescent="0.25">
      <c r="B69" s="5" t="s">
        <v>31</v>
      </c>
      <c r="K69" s="57">
        <f>K66+K67-K68</f>
        <v>68246327.058315381</v>
      </c>
    </row>
    <row r="70" spans="1:11" x14ac:dyDescent="0.25">
      <c r="B70" s="14" t="s">
        <v>32</v>
      </c>
      <c r="C70" s="14"/>
      <c r="D70" s="14"/>
      <c r="E70" s="14"/>
      <c r="F70" s="14"/>
      <c r="G70" s="14"/>
      <c r="H70" s="14"/>
      <c r="I70" s="14"/>
      <c r="J70" s="14"/>
      <c r="K70" s="60">
        <v>978010</v>
      </c>
    </row>
    <row r="71" spans="1:11" x14ac:dyDescent="0.25">
      <c r="A71" s="3" t="s">
        <v>0</v>
      </c>
      <c r="B71" s="5" t="s">
        <v>33</v>
      </c>
      <c r="K71" s="61">
        <f>K69/K70</f>
        <v>69.780807004340843</v>
      </c>
    </row>
    <row r="75" spans="1:11" ht="15.75" x14ac:dyDescent="0.25">
      <c r="A75" s="3" t="s">
        <v>0</v>
      </c>
      <c r="B75" s="68" t="s">
        <v>54</v>
      </c>
      <c r="C75" s="4"/>
      <c r="D75" s="4"/>
      <c r="E75" s="4"/>
      <c r="F75" s="65"/>
      <c r="G75" s="65"/>
      <c r="H75" s="65"/>
      <c r="I75" s="65"/>
      <c r="J75" s="65"/>
      <c r="K75" s="65"/>
    </row>
    <row r="76" spans="1:11" x14ac:dyDescent="0.25">
      <c r="E76" s="69"/>
    </row>
    <row r="77" spans="1:11" x14ac:dyDescent="0.25">
      <c r="B77" s="73">
        <f>K71</f>
        <v>69.780807004340843</v>
      </c>
      <c r="C77" s="67">
        <v>0.01</v>
      </c>
      <c r="D77" s="67">
        <v>1.4999999999999999E-2</v>
      </c>
      <c r="E77" s="70">
        <v>0.02</v>
      </c>
      <c r="F77" s="67">
        <v>2.5000000000000001E-2</v>
      </c>
      <c r="G77" s="67">
        <v>0.03</v>
      </c>
      <c r="H77" s="67">
        <v>3.5000000000000003E-2</v>
      </c>
    </row>
    <row r="78" spans="1:11" x14ac:dyDescent="0.25">
      <c r="B78" s="67">
        <v>5.5E-2</v>
      </c>
      <c r="C78" s="66">
        <f t="dataTable" ref="C78:H83" dt2D="1" dtr="1" r1="D7" r2="D6"/>
        <v>75.084459437738303</v>
      </c>
      <c r="D78" s="66">
        <v>83.025193382754892</v>
      </c>
      <c r="E78" s="71">
        <v>93.234708454919087</v>
      </c>
      <c r="F78" s="66">
        <v>106.84739521780467</v>
      </c>
      <c r="G78" s="66">
        <v>125.90515668584452</v>
      </c>
      <c r="H78" s="66">
        <v>154.49179888790431</v>
      </c>
    </row>
    <row r="79" spans="1:11" x14ac:dyDescent="0.25">
      <c r="B79" s="67">
        <v>0.06</v>
      </c>
      <c r="C79" s="66">
        <v>67.555627930853547</v>
      </c>
      <c r="D79" s="66">
        <v>73.789200355108321</v>
      </c>
      <c r="E79" s="71">
        <v>81.581165885426827</v>
      </c>
      <c r="F79" s="66">
        <v>91.599407281550555</v>
      </c>
      <c r="G79" s="66">
        <v>104.95706247638223</v>
      </c>
      <c r="H79" s="66">
        <v>123.6577797491466</v>
      </c>
    </row>
    <row r="80" spans="1:11" x14ac:dyDescent="0.25">
      <c r="B80" s="70">
        <v>6.6771388992666353E-2</v>
      </c>
      <c r="C80" s="71">
        <v>59.482217217326244</v>
      </c>
      <c r="D80" s="71">
        <v>64.134201241480895</v>
      </c>
      <c r="E80" s="72">
        <v>69.780807004340843</v>
      </c>
      <c r="F80" s="71">
        <v>76.779200653366402</v>
      </c>
      <c r="G80" s="71">
        <v>85.680811406978719</v>
      </c>
      <c r="H80" s="71">
        <v>97.38419162545992</v>
      </c>
    </row>
    <row r="81" spans="2:8" x14ac:dyDescent="0.25">
      <c r="B81" s="67">
        <v>7.0000000000000007E-2</v>
      </c>
      <c r="C81" s="66">
        <v>56.277572891891296</v>
      </c>
      <c r="D81" s="66">
        <v>60.371064818695757</v>
      </c>
      <c r="E81" s="71">
        <v>65.283255130861122</v>
      </c>
      <c r="F81" s="66">
        <v>71.287043290174338</v>
      </c>
      <c r="G81" s="66">
        <v>78.79177848931586</v>
      </c>
      <c r="H81" s="66">
        <v>88.440723745354958</v>
      </c>
    </row>
    <row r="82" spans="2:8" x14ac:dyDescent="0.25">
      <c r="B82" s="67">
        <v>7.4999999999999997E-2</v>
      </c>
      <c r="C82" s="66">
        <v>51.946632123880278</v>
      </c>
      <c r="D82" s="66">
        <v>55.346362884886602</v>
      </c>
      <c r="E82" s="71">
        <v>59.364226511530468</v>
      </c>
      <c r="F82" s="66">
        <v>64.185662863503069</v>
      </c>
      <c r="G82" s="66">
        <v>70.078529515914056</v>
      </c>
      <c r="H82" s="66">
        <v>77.44461283142779</v>
      </c>
    </row>
    <row r="83" spans="2:8" x14ac:dyDescent="0.25">
      <c r="B83" s="67">
        <v>0.08</v>
      </c>
      <c r="C83" s="66">
        <v>48.238447461292907</v>
      </c>
      <c r="D83" s="66">
        <v>51.098912013531653</v>
      </c>
      <c r="E83" s="71">
        <v>54.436120657810186</v>
      </c>
      <c r="F83" s="66">
        <v>58.380094510139344</v>
      </c>
      <c r="G83" s="66">
        <v>63.112863132934358</v>
      </c>
      <c r="H83" s="66">
        <v>68.897358116350475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A1CE-D4C9-4316-9260-C5BEDB92AF55}">
  <dimension ref="A1:E21"/>
  <sheetViews>
    <sheetView showGridLines="0" zoomScale="80" zoomScaleNormal="80" workbookViewId="0"/>
  </sheetViews>
  <sheetFormatPr defaultRowHeight="15" x14ac:dyDescent="0.25"/>
  <cols>
    <col min="1" max="1" width="3.625" style="35" customWidth="1"/>
    <col min="2" max="4" width="9" style="35"/>
    <col min="5" max="5" width="17.875" style="35" customWidth="1"/>
    <col min="6" max="16384" width="9" style="35"/>
  </cols>
  <sheetData>
    <row r="1" spans="1:5" customFormat="1" ht="15.75" x14ac:dyDescent="0.25">
      <c r="A1" t="s">
        <v>42</v>
      </c>
    </row>
    <row r="2" spans="1:5" s="1" customFormat="1" ht="21" x14ac:dyDescent="0.35">
      <c r="B2" s="2" t="s">
        <v>41</v>
      </c>
    </row>
    <row r="4" spans="1:5" x14ac:dyDescent="0.25">
      <c r="A4" s="35" t="s">
        <v>0</v>
      </c>
      <c r="B4" s="4" t="s">
        <v>3</v>
      </c>
      <c r="C4" s="4"/>
      <c r="D4" s="4"/>
      <c r="E4" s="4"/>
    </row>
    <row r="5" spans="1:5" x14ac:dyDescent="0.25">
      <c r="B5" s="5" t="s">
        <v>52</v>
      </c>
    </row>
    <row r="6" spans="1:5" x14ac:dyDescent="0.25">
      <c r="B6" s="5"/>
    </row>
    <row r="7" spans="1:5" x14ac:dyDescent="0.25">
      <c r="B7" s="35" t="s">
        <v>43</v>
      </c>
      <c r="E7" s="41">
        <v>94.47</v>
      </c>
    </row>
    <row r="8" spans="1:5" x14ac:dyDescent="0.25">
      <c r="B8" s="35" t="s">
        <v>44</v>
      </c>
      <c r="E8" s="25">
        <f>E7/E19</f>
        <v>1.0563868126874214E-3</v>
      </c>
    </row>
    <row r="9" spans="1:5" x14ac:dyDescent="0.25">
      <c r="B9" s="35" t="s">
        <v>45</v>
      </c>
      <c r="E9" s="39">
        <v>0</v>
      </c>
    </row>
    <row r="10" spans="1:5" x14ac:dyDescent="0.25">
      <c r="B10" s="35" t="s">
        <v>5</v>
      </c>
      <c r="E10" s="39">
        <v>0.23</v>
      </c>
    </row>
    <row r="12" spans="1:5" x14ac:dyDescent="0.25">
      <c r="B12" s="35" t="s">
        <v>31</v>
      </c>
      <c r="E12" s="41">
        <v>89333</v>
      </c>
    </row>
    <row r="13" spans="1:5" x14ac:dyDescent="0.25">
      <c r="B13" s="35" t="s">
        <v>46</v>
      </c>
      <c r="E13" s="25">
        <f>E12/E19</f>
        <v>0.99894361318731262</v>
      </c>
    </row>
    <row r="14" spans="1:5" x14ac:dyDescent="0.25">
      <c r="B14" s="35" t="s">
        <v>47</v>
      </c>
      <c r="E14" s="38">
        <f>E15+(E17*E16)</f>
        <v>6.6841999999999999E-2</v>
      </c>
    </row>
    <row r="15" spans="1:5" x14ac:dyDescent="0.25">
      <c r="B15" s="35" t="s">
        <v>48</v>
      </c>
      <c r="E15" s="39">
        <v>4.3999999999999997E-2</v>
      </c>
    </row>
    <row r="16" spans="1:5" x14ac:dyDescent="0.25">
      <c r="B16" s="35" t="s">
        <v>49</v>
      </c>
      <c r="E16" s="39">
        <v>4.2299999999999997E-2</v>
      </c>
    </row>
    <row r="17" spans="1:5" x14ac:dyDescent="0.25">
      <c r="B17" s="35" t="s">
        <v>50</v>
      </c>
      <c r="E17" s="40">
        <v>0.54</v>
      </c>
    </row>
    <row r="19" spans="1:5" x14ac:dyDescent="0.25">
      <c r="B19" s="36" t="s">
        <v>51</v>
      </c>
      <c r="C19" s="36"/>
      <c r="D19" s="36"/>
      <c r="E19" s="42">
        <f>E12+E7</f>
        <v>89427.47</v>
      </c>
    </row>
    <row r="21" spans="1:5" x14ac:dyDescent="0.25">
      <c r="A21" s="35" t="s">
        <v>0</v>
      </c>
      <c r="B21" s="12" t="s">
        <v>3</v>
      </c>
      <c r="C21" s="37"/>
      <c r="D21" s="37"/>
      <c r="E21" s="43">
        <f>(E13*E14)+(E9*E8*(1-E10))</f>
        <v>6.6771388992666353E-2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2026-06-21T21:11:04Z</dcterms:created>
  <dcterms:modified xsi:type="dcterms:W3CDTF">2026-06-22T20:10:05Z</dcterms:modified>
</cp:coreProperties>
</file>