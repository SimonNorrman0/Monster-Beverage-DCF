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ko\Desktop\IB Work\DCF's\"/>
    </mc:Choice>
  </mc:AlternateContent>
  <xr:revisionPtr revIDLastSave="0" documentId="13_ncr:1_{9637CDBB-0052-4DC8-AD14-E3B5C517AC8A}" xr6:coauthVersionLast="47" xr6:coauthVersionMax="47" xr10:uidLastSave="{00000000-0000-0000-0000-000000000000}"/>
  <bookViews>
    <workbookView xWindow="-120" yWindow="-120" windowWidth="29040" windowHeight="15840" xr2:uid="{1923DEDF-824E-4E3B-A144-038819A52F4C}"/>
  </bookViews>
  <sheets>
    <sheet name="DCF" sheetId="1" r:id="rId1"/>
    <sheet name="WACC" sheetId="2" r:id="rId2"/>
  </sheets>
  <externalReferences>
    <externalReference r:id="rId3"/>
  </externalReferences>
  <definedNames>
    <definedName name="tgr">DCF!$E$18</definedName>
    <definedName name="wacc">DCF!$E$17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3" i="1" l="1"/>
  <c r="K72" i="1" s="1"/>
  <c r="L72" i="1" s="1"/>
  <c r="M72" i="1" s="1"/>
  <c r="N72" i="1" s="1"/>
  <c r="E18" i="1"/>
  <c r="J72" i="1" l="1"/>
  <c r="O17" i="1" l="1"/>
  <c r="E21" i="2"/>
  <c r="E14" i="2"/>
  <c r="E8" i="2"/>
  <c r="E13" i="2"/>
  <c r="E19" i="2"/>
  <c r="T17" i="1" l="1"/>
  <c r="J17" i="1"/>
  <c r="E17" i="1" s="1"/>
  <c r="E67" i="1" l="1"/>
  <c r="E66" i="1"/>
  <c r="F60" i="1"/>
  <c r="E60" i="1"/>
  <c r="N52" i="1"/>
  <c r="N51" i="1" s="1"/>
  <c r="N50" i="1" s="1"/>
  <c r="J52" i="1"/>
  <c r="J53" i="1" s="1"/>
  <c r="N43" i="1"/>
  <c r="N44" i="1"/>
  <c r="N46" i="1"/>
  <c r="J51" i="1" l="1"/>
  <c r="J50" i="1" s="1"/>
  <c r="N53" i="1"/>
  <c r="K53" i="1" s="1"/>
  <c r="L53" i="1" s="1"/>
  <c r="M53" i="1" s="1"/>
  <c r="K51" i="1"/>
  <c r="K52" i="1"/>
  <c r="L52" i="1" s="1"/>
  <c r="M52" i="1" s="1"/>
  <c r="L51" i="1" l="1"/>
  <c r="K50" i="1"/>
  <c r="J45" i="1"/>
  <c r="F55" i="1"/>
  <c r="G55" i="1"/>
  <c r="H55" i="1"/>
  <c r="I55" i="1"/>
  <c r="E55" i="1"/>
  <c r="F50" i="1"/>
  <c r="G50" i="1"/>
  <c r="E50" i="1"/>
  <c r="F49" i="1"/>
  <c r="G49" i="1"/>
  <c r="E49" i="1"/>
  <c r="E43" i="1"/>
  <c r="F42" i="1"/>
  <c r="G42" i="1"/>
  <c r="E42" i="1"/>
  <c r="G39" i="1"/>
  <c r="G67" i="1" s="1"/>
  <c r="F39" i="1"/>
  <c r="F67" i="1" s="1"/>
  <c r="F32" i="1"/>
  <c r="F61" i="1" s="1"/>
  <c r="E32" i="1"/>
  <c r="E61" i="1" s="1"/>
  <c r="G38" i="1"/>
  <c r="G66" i="1" s="1"/>
  <c r="H38" i="1"/>
  <c r="H66" i="1" s="1"/>
  <c r="I38" i="1"/>
  <c r="I66" i="1" s="1"/>
  <c r="F38" i="1"/>
  <c r="F66" i="1" s="1"/>
  <c r="F34" i="1"/>
  <c r="F63" i="1" s="1"/>
  <c r="E34" i="1"/>
  <c r="E63" i="1" s="1"/>
  <c r="G34" i="1"/>
  <c r="H34" i="1"/>
  <c r="I34" i="1"/>
  <c r="H31" i="1"/>
  <c r="I31" i="1"/>
  <c r="G31" i="1"/>
  <c r="G22" i="1"/>
  <c r="G43" i="1" s="1"/>
  <c r="F22" i="1"/>
  <c r="F43" i="1" s="1"/>
  <c r="F25" i="1"/>
  <c r="G25" i="1"/>
  <c r="E25" i="1"/>
  <c r="H24" i="1"/>
  <c r="H28" i="1" s="1"/>
  <c r="H56" i="1" s="1"/>
  <c r="I24" i="1"/>
  <c r="I21" i="1"/>
  <c r="I42" i="1" s="1"/>
  <c r="H21" i="1"/>
  <c r="H42" i="1" s="1"/>
  <c r="F28" i="1"/>
  <c r="F56" i="1" s="1"/>
  <c r="G28" i="1"/>
  <c r="G56" i="1" s="1"/>
  <c r="E28" i="1"/>
  <c r="E56" i="1" s="1"/>
  <c r="F20" i="1"/>
  <c r="G20" i="1" s="1"/>
  <c r="H20" i="1" s="1"/>
  <c r="F30" i="1"/>
  <c r="G30" i="1" s="1"/>
  <c r="F41" i="1"/>
  <c r="G41" i="1" s="1"/>
  <c r="J43" i="1" l="1"/>
  <c r="J42" i="1" s="1"/>
  <c r="J44" i="1"/>
  <c r="K44" i="1" s="1"/>
  <c r="L44" i="1" s="1"/>
  <c r="M44" i="1" s="1"/>
  <c r="J46" i="1"/>
  <c r="K46" i="1" s="1"/>
  <c r="L46" i="1" s="1"/>
  <c r="M46" i="1" s="1"/>
  <c r="K45" i="1"/>
  <c r="E35" i="1"/>
  <c r="E64" i="1" s="1"/>
  <c r="F35" i="1"/>
  <c r="F64" i="1" s="1"/>
  <c r="M51" i="1"/>
  <c r="M50" i="1" s="1"/>
  <c r="L50" i="1"/>
  <c r="G35" i="1"/>
  <c r="G64" i="1" s="1"/>
  <c r="G63" i="1"/>
  <c r="I35" i="1"/>
  <c r="I64" i="1" s="1"/>
  <c r="I63" i="1"/>
  <c r="I25" i="1"/>
  <c r="I50" i="1" s="1"/>
  <c r="G32" i="1"/>
  <c r="G61" i="1" s="1"/>
  <c r="G60" i="1"/>
  <c r="H35" i="1"/>
  <c r="H64" i="1" s="1"/>
  <c r="H63" i="1"/>
  <c r="I32" i="1"/>
  <c r="I61" i="1" s="1"/>
  <c r="I60" i="1"/>
  <c r="H32" i="1"/>
  <c r="H61" i="1" s="1"/>
  <c r="H60" i="1"/>
  <c r="I22" i="1"/>
  <c r="I43" i="1" s="1"/>
  <c r="H22" i="1"/>
  <c r="H43" i="1" s="1"/>
  <c r="I39" i="1"/>
  <c r="I67" i="1" s="1"/>
  <c r="J67" i="1" s="1"/>
  <c r="H39" i="1"/>
  <c r="H67" i="1" s="1"/>
  <c r="I49" i="1"/>
  <c r="H49" i="1"/>
  <c r="H25" i="1"/>
  <c r="H50" i="1" s="1"/>
  <c r="I28" i="1"/>
  <c r="I56" i="1" s="1"/>
  <c r="H41" i="1"/>
  <c r="I41" i="1" s="1"/>
  <c r="J41" i="1" s="1"/>
  <c r="K41" i="1" s="1"/>
  <c r="L41" i="1" s="1"/>
  <c r="M41" i="1" s="1"/>
  <c r="N41" i="1" s="1"/>
  <c r="H30" i="1"/>
  <c r="I30" i="1" s="1"/>
  <c r="J30" i="1" s="1"/>
  <c r="K30" i="1" s="1"/>
  <c r="L30" i="1" s="1"/>
  <c r="M30" i="1" s="1"/>
  <c r="N30" i="1" s="1"/>
  <c r="I20" i="1"/>
  <c r="J20" i="1" s="1"/>
  <c r="K20" i="1" s="1"/>
  <c r="L20" i="1" s="1"/>
  <c r="M20" i="1" s="1"/>
  <c r="N20" i="1" s="1"/>
  <c r="J49" i="1" l="1"/>
  <c r="J63" i="1"/>
  <c r="L45" i="1"/>
  <c r="K43" i="1"/>
  <c r="K42" i="1" s="1"/>
  <c r="J61" i="1"/>
  <c r="K61" i="1" s="1"/>
  <c r="L61" i="1" s="1"/>
  <c r="M61" i="1" s="1"/>
  <c r="N61" i="1" s="1"/>
  <c r="K67" i="1"/>
  <c r="L67" i="1" s="1"/>
  <c r="M67" i="1" s="1"/>
  <c r="N67" i="1" s="1"/>
  <c r="J66" i="1"/>
  <c r="J56" i="1"/>
  <c r="K56" i="1" s="1"/>
  <c r="L56" i="1" s="1"/>
  <c r="M56" i="1" s="1"/>
  <c r="N56" i="1" s="1"/>
  <c r="K60" i="1" l="1"/>
  <c r="K63" i="1"/>
  <c r="K49" i="1"/>
  <c r="K55" i="1" s="1"/>
  <c r="K58" i="1" s="1"/>
  <c r="K66" i="1"/>
  <c r="J60" i="1"/>
  <c r="M45" i="1"/>
  <c r="M43" i="1" s="1"/>
  <c r="L43" i="1"/>
  <c r="L42" i="1" s="1"/>
  <c r="J55" i="1"/>
  <c r="J58" i="1" s="1"/>
  <c r="J69" i="1" l="1"/>
  <c r="J70" i="1" s="1"/>
  <c r="K69" i="1"/>
  <c r="K70" i="1" s="1"/>
  <c r="L66" i="1"/>
  <c r="L63" i="1"/>
  <c r="M42" i="1"/>
  <c r="M66" i="1" s="1"/>
  <c r="L49" i="1"/>
  <c r="L55" i="1" s="1"/>
  <c r="L58" i="1" s="1"/>
  <c r="L60" i="1"/>
  <c r="M60" i="1"/>
  <c r="M63" i="1"/>
  <c r="N42" i="1"/>
  <c r="M49" i="1"/>
  <c r="M55" i="1" s="1"/>
  <c r="M58" i="1" s="1"/>
  <c r="L69" i="1" l="1"/>
  <c r="L70" i="1" s="1"/>
  <c r="M69" i="1"/>
  <c r="M70" i="1" s="1"/>
  <c r="N63" i="1"/>
  <c r="N66" i="1"/>
  <c r="N49" i="1"/>
  <c r="N55" i="1" s="1"/>
  <c r="N58" i="1" s="1"/>
  <c r="N60" i="1"/>
  <c r="N69" i="1" l="1"/>
  <c r="N75" i="1" s="1"/>
  <c r="N76" i="1" s="1"/>
  <c r="N70" i="1" l="1"/>
  <c r="N78" i="1" s="1"/>
  <c r="N81" i="1" s="1"/>
  <c r="N83" i="1" s="1"/>
  <c r="H4" i="1" l="1"/>
  <c r="H6" i="1" s="1"/>
  <c r="C89" i="1"/>
</calcChain>
</file>

<file path=xl/sharedStrings.xml><?xml version="1.0" encoding="utf-8"?>
<sst xmlns="http://schemas.openxmlformats.org/spreadsheetml/2006/main" count="125" uniqueCount="62">
  <si>
    <t xml:space="preserve"> </t>
  </si>
  <si>
    <t>x</t>
  </si>
  <si>
    <t>Monster Beverage - DCF</t>
  </si>
  <si>
    <t>Ticker</t>
  </si>
  <si>
    <t>Date</t>
  </si>
  <si>
    <t>EOY</t>
  </si>
  <si>
    <t>Assumptions</t>
  </si>
  <si>
    <t>Switches</t>
  </si>
  <si>
    <t>Revenue</t>
  </si>
  <si>
    <t>EBIT</t>
  </si>
  <si>
    <t>WACC</t>
  </si>
  <si>
    <t>TGR</t>
  </si>
  <si>
    <t>Conservative</t>
  </si>
  <si>
    <t>Year</t>
  </si>
  <si>
    <t>Metric</t>
  </si>
  <si>
    <t>Base / Street</t>
  </si>
  <si>
    <t>Optimistic</t>
  </si>
  <si>
    <t>Income Statement</t>
  </si>
  <si>
    <t>% growth</t>
  </si>
  <si>
    <t>% of sales</t>
  </si>
  <si>
    <t>Taxes</t>
  </si>
  <si>
    <t>% of EBIT</t>
  </si>
  <si>
    <t>Cash Flow Items</t>
  </si>
  <si>
    <t>D&amp;A</t>
  </si>
  <si>
    <t>CapEx</t>
  </si>
  <si>
    <t>Change in NWC</t>
  </si>
  <si>
    <t>Operating NWC</t>
  </si>
  <si>
    <t>DCF</t>
  </si>
  <si>
    <t>EBIAT</t>
  </si>
  <si>
    <t>Unlevered FCF</t>
  </si>
  <si>
    <t>Present Value of FCF</t>
  </si>
  <si>
    <t>Discount Period</t>
  </si>
  <si>
    <t>Period</t>
  </si>
  <si>
    <t>Terminal Value</t>
  </si>
  <si>
    <t>Present Value of Terminal Value</t>
  </si>
  <si>
    <t xml:space="preserve">Enterprise Value </t>
  </si>
  <si>
    <t>Equity Value</t>
  </si>
  <si>
    <t>Diluted Shares Outstanding</t>
  </si>
  <si>
    <t>Implied Share Price</t>
  </si>
  <si>
    <t>Conservative Case</t>
  </si>
  <si>
    <t>Street case</t>
  </si>
  <si>
    <t>Optimistic Case</t>
  </si>
  <si>
    <t>Calculations:</t>
  </si>
  <si>
    <t>Monster Beverage - WACC</t>
  </si>
  <si>
    <t>Debt %</t>
  </si>
  <si>
    <t xml:space="preserve">Debt </t>
  </si>
  <si>
    <t>Tax Rate</t>
  </si>
  <si>
    <t>Pre-Tax Cost of Debt</t>
  </si>
  <si>
    <t>Equity %</t>
  </si>
  <si>
    <t>Cost of Equity</t>
  </si>
  <si>
    <t>Risk Free Rate</t>
  </si>
  <si>
    <t>Equity Risk Premium</t>
  </si>
  <si>
    <t>Beta</t>
  </si>
  <si>
    <t>Debt + Equity</t>
  </si>
  <si>
    <t>--</t>
  </si>
  <si>
    <t>MNST</t>
  </si>
  <si>
    <t>(-) Debt</t>
  </si>
  <si>
    <t>(+) Cash</t>
  </si>
  <si>
    <t>Current Share Price</t>
  </si>
  <si>
    <t>Implied Upside / (Downside)</t>
  </si>
  <si>
    <t>Sensitivity Analysis</t>
  </si>
  <si>
    <t>Terminal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</si>
</sst>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yyyy&quot;A&quot;"/>
    <numFmt numFmtId="165" formatCode="yyyy&quot;E&quot;"/>
    <numFmt numFmtId="166" formatCode="0.0%"/>
    <numFmt numFmtId="167" formatCode="#,##0;\(#,##0\);\-;@"/>
    <numFmt numFmtId="168" formatCode="0.0%;\(0.0%\);\-;@"/>
    <numFmt numFmtId="169" formatCode="0%;\(0%\);\-;@"/>
    <numFmt numFmtId="170" formatCode="0.00%;\(0.00%\);\-;@"/>
    <numFmt numFmtId="171" formatCode="0.000"/>
    <numFmt numFmtId="172" formatCode="_-[$$-409]* #,##0.00_ ;_-[$$-409]* \-#,##0.00\ ;_-[$$-409]* &quot;-&quot;??_ ;_-@_ "/>
    <numFmt numFmtId="173" formatCode="0.0"/>
  </numFmts>
  <fonts count="26" x14ac:knownFonts="1">
    <font>
      <sz val="12"/>
      <color theme="1"/>
      <name val="Aptos Narrow"/>
      <family val="2"/>
      <charset val="238"/>
    </font>
    <font>
      <b/>
      <sz val="16"/>
      <color theme="1"/>
      <name val="Aptos Narrow"/>
      <family val="2"/>
    </font>
    <font>
      <sz val="11"/>
      <color theme="1"/>
      <name val="Aptos Narrow"/>
      <family val="2"/>
      <charset val="238"/>
    </font>
    <font>
      <sz val="11"/>
      <color theme="0"/>
      <name val="Aptos Narrow"/>
      <family val="2"/>
      <charset val="238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  <font>
      <b/>
      <u/>
      <sz val="11"/>
      <color theme="1"/>
      <name val="Aptos Narrow"/>
      <family val="2"/>
    </font>
    <font>
      <i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name val="Aptos Narrow"/>
      <family val="2"/>
      <charset val="238"/>
    </font>
    <font>
      <i/>
      <sz val="11"/>
      <color theme="3" tint="0.499984740745262"/>
      <name val="Aptos Narrow"/>
      <family val="2"/>
    </font>
    <font>
      <sz val="10"/>
      <color rgb="FF7030A0"/>
      <name val="Aptos Narrow"/>
      <family val="2"/>
    </font>
    <font>
      <sz val="10"/>
      <name val="Aptos Narrow"/>
      <family val="2"/>
    </font>
    <font>
      <i/>
      <sz val="10"/>
      <color theme="1"/>
      <name val="Aptos Narrow"/>
      <family val="2"/>
    </font>
    <font>
      <sz val="10"/>
      <color theme="1"/>
      <name val="Aptos Narrow"/>
      <family val="2"/>
    </font>
    <font>
      <i/>
      <sz val="10"/>
      <color rgb="FF7030A0"/>
      <name val="Aptos Narrow"/>
      <family val="2"/>
    </font>
    <font>
      <b/>
      <sz val="10"/>
      <color theme="1"/>
      <name val="Aptos Narrow"/>
      <family val="2"/>
    </font>
    <font>
      <sz val="10"/>
      <color rgb="FF0070C0"/>
      <name val="Aptos Narrow"/>
      <family val="2"/>
    </font>
    <font>
      <sz val="11"/>
      <color theme="3" tint="0.499984740745262"/>
      <name val="Aptos Narrow"/>
      <family val="2"/>
    </font>
    <font>
      <sz val="11"/>
      <name val="Aptos Narrow"/>
      <family val="2"/>
    </font>
    <font>
      <sz val="11"/>
      <color theme="9"/>
      <name val="Aptos Narrow"/>
      <family val="2"/>
      <charset val="238"/>
    </font>
    <font>
      <b/>
      <sz val="10"/>
      <color theme="0"/>
      <name val="Aptos Narrow"/>
      <family val="2"/>
    </font>
    <font>
      <b/>
      <sz val="12"/>
      <color theme="0"/>
      <name val="Aptos Narrow"/>
      <family val="2"/>
    </font>
    <font>
      <b/>
      <sz val="11"/>
      <color theme="0" tint="-0.14999847407452621"/>
      <name val="Aptos Narrow"/>
      <family val="2"/>
    </font>
    <font>
      <i/>
      <sz val="11"/>
      <name val="Aptos Narrow"/>
      <family val="2"/>
    </font>
    <font>
      <b/>
      <i/>
      <sz val="1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/>
    <xf numFmtId="0" fontId="2" fillId="2" borderId="2" xfId="0" applyFont="1" applyFill="1" applyBorder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0" borderId="0" xfId="0" applyFont="1"/>
    <xf numFmtId="0" fontId="5" fillId="4" borderId="0" xfId="0" applyFont="1" applyFill="1"/>
    <xf numFmtId="0" fontId="2" fillId="4" borderId="0" xfId="0" applyFont="1" applyFill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4" fillId="3" borderId="0" xfId="0" applyNumberFormat="1" applyFont="1" applyFill="1"/>
    <xf numFmtId="165" fontId="4" fillId="3" borderId="0" xfId="0" applyNumberFormat="1" applyFont="1" applyFill="1"/>
    <xf numFmtId="0" fontId="7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7" fillId="0" borderId="0" xfId="0" applyFont="1" applyAlignment="1">
      <alignment horizontal="left"/>
    </xf>
    <xf numFmtId="0" fontId="8" fillId="0" borderId="0" xfId="0" applyFont="1"/>
    <xf numFmtId="0" fontId="8" fillId="3" borderId="0" xfId="0" applyFont="1" applyFill="1"/>
    <xf numFmtId="0" fontId="8" fillId="0" borderId="1" xfId="0" applyFont="1" applyBorder="1"/>
    <xf numFmtId="0" fontId="5" fillId="5" borderId="3" xfId="0" applyFont="1" applyFill="1" applyBorder="1"/>
    <xf numFmtId="0" fontId="8" fillId="5" borderId="4" xfId="0" applyFont="1" applyFill="1" applyBorder="1"/>
    <xf numFmtId="0" fontId="2" fillId="5" borderId="4" xfId="0" applyFont="1" applyFill="1" applyBorder="1"/>
    <xf numFmtId="168" fontId="7" fillId="0" borderId="0" xfId="0" applyNumberFormat="1" applyFont="1"/>
    <xf numFmtId="167" fontId="9" fillId="0" borderId="0" xfId="0" applyNumberFormat="1" applyFont="1"/>
    <xf numFmtId="169" fontId="10" fillId="2" borderId="2" xfId="0" applyNumberFormat="1" applyFont="1" applyFill="1" applyBorder="1"/>
    <xf numFmtId="168" fontId="10" fillId="2" borderId="2" xfId="0" applyNumberFormat="1" applyFont="1" applyFill="1" applyBorder="1"/>
    <xf numFmtId="167" fontId="11" fillId="0" borderId="0" xfId="0" applyNumberFormat="1" applyFont="1"/>
    <xf numFmtId="167" fontId="12" fillId="0" borderId="0" xfId="0" applyNumberFormat="1" applyFont="1"/>
    <xf numFmtId="168" fontId="11" fillId="0" borderId="0" xfId="0" applyNumberFormat="1" applyFont="1" applyAlignment="1">
      <alignment horizontal="right"/>
    </xf>
    <xf numFmtId="168" fontId="11" fillId="0" borderId="0" xfId="0" applyNumberFormat="1" applyFont="1"/>
    <xf numFmtId="168" fontId="13" fillId="0" borderId="0" xfId="0" applyNumberFormat="1" applyFont="1"/>
    <xf numFmtId="0" fontId="14" fillId="0" borderId="0" xfId="0" applyFont="1"/>
    <xf numFmtId="168" fontId="14" fillId="2" borderId="2" xfId="0" applyNumberFormat="1" applyFont="1" applyFill="1" applyBorder="1"/>
    <xf numFmtId="168" fontId="11" fillId="2" borderId="2" xfId="0" applyNumberFormat="1" applyFont="1" applyFill="1" applyBorder="1"/>
    <xf numFmtId="169" fontId="14" fillId="2" borderId="2" xfId="0" applyNumberFormat="1" applyFont="1" applyFill="1" applyBorder="1"/>
    <xf numFmtId="168" fontId="15" fillId="0" borderId="0" xfId="0" applyNumberFormat="1" applyFont="1"/>
    <xf numFmtId="166" fontId="14" fillId="2" borderId="2" xfId="0" applyNumberFormat="1" applyFont="1" applyFill="1" applyBorder="1"/>
    <xf numFmtId="10" fontId="14" fillId="2" borderId="2" xfId="0" applyNumberFormat="1" applyFont="1" applyFill="1" applyBorder="1"/>
    <xf numFmtId="0" fontId="14" fillId="5" borderId="4" xfId="0" applyFont="1" applyFill="1" applyBorder="1"/>
    <xf numFmtId="167" fontId="16" fillId="5" borderId="4" xfId="0" applyNumberFormat="1" applyFont="1" applyFill="1" applyBorder="1"/>
    <xf numFmtId="167" fontId="16" fillId="5" borderId="5" xfId="0" applyNumberFormat="1" applyFont="1" applyFill="1" applyBorder="1"/>
    <xf numFmtId="167" fontId="17" fillId="0" borderId="0" xfId="0" applyNumberFormat="1" applyFont="1"/>
    <xf numFmtId="3" fontId="14" fillId="0" borderId="0" xfId="0" applyNumberFormat="1" applyFont="1"/>
    <xf numFmtId="0" fontId="14" fillId="0" borderId="0" xfId="0" quotePrefix="1" applyFont="1" applyAlignment="1">
      <alignment horizontal="right"/>
    </xf>
    <xf numFmtId="167" fontId="14" fillId="0" borderId="0" xfId="0" applyNumberFormat="1" applyFont="1"/>
    <xf numFmtId="168" fontId="13" fillId="0" borderId="0" xfId="0" quotePrefix="1" applyNumberFormat="1" applyFont="1" applyAlignment="1">
      <alignment horizontal="right"/>
    </xf>
    <xf numFmtId="0" fontId="14" fillId="0" borderId="0" xfId="0" applyFont="1" applyAlignment="1">
      <alignment wrapText="1"/>
    </xf>
    <xf numFmtId="14" fontId="2" fillId="2" borderId="2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167" fontId="11" fillId="0" borderId="0" xfId="0" applyNumberFormat="1" applyFont="1" applyAlignment="1">
      <alignment horizontal="right"/>
    </xf>
    <xf numFmtId="168" fontId="15" fillId="0" borderId="0" xfId="0" applyNumberFormat="1" applyFont="1" applyAlignment="1">
      <alignment horizontal="right"/>
    </xf>
    <xf numFmtId="0" fontId="8" fillId="2" borderId="2" xfId="0" applyFont="1" applyFill="1" applyBorder="1"/>
    <xf numFmtId="169" fontId="10" fillId="0" borderId="0" xfId="0" applyNumberFormat="1" applyFont="1"/>
    <xf numFmtId="0" fontId="18" fillId="0" borderId="0" xfId="0" applyFont="1" applyAlignment="1">
      <alignment horizontal="right"/>
    </xf>
    <xf numFmtId="0" fontId="18" fillId="2" borderId="2" xfId="0" applyFont="1" applyFill="1" applyBorder="1" applyAlignment="1">
      <alignment horizontal="right"/>
    </xf>
    <xf numFmtId="167" fontId="8" fillId="0" borderId="1" xfId="0" applyNumberFormat="1" applyFont="1" applyBorder="1"/>
    <xf numFmtId="0" fontId="19" fillId="0" borderId="0" xfId="0" applyFont="1" applyAlignment="1">
      <alignment horizontal="right"/>
    </xf>
    <xf numFmtId="169" fontId="13" fillId="0" borderId="0" xfId="0" applyNumberFormat="1" applyFont="1"/>
    <xf numFmtId="170" fontId="13" fillId="2" borderId="2" xfId="0" applyNumberFormat="1" applyFont="1" applyFill="1" applyBorder="1"/>
    <xf numFmtId="10" fontId="8" fillId="0" borderId="0" xfId="0" applyNumberFormat="1" applyFont="1"/>
    <xf numFmtId="10" fontId="5" fillId="5" borderId="5" xfId="0" applyNumberFormat="1" applyFont="1" applyFill="1" applyBorder="1"/>
    <xf numFmtId="10" fontId="2" fillId="2" borderId="2" xfId="0" applyNumberFormat="1" applyFont="1" applyFill="1" applyBorder="1"/>
    <xf numFmtId="10" fontId="20" fillId="2" borderId="2" xfId="0" applyNumberFormat="1" applyFont="1" applyFill="1" applyBorder="1"/>
    <xf numFmtId="0" fontId="5" fillId="5" borderId="8" xfId="0" applyFont="1" applyFill="1" applyBorder="1"/>
    <xf numFmtId="0" fontId="2" fillId="5" borderId="6" xfId="0" applyFont="1" applyFill="1" applyBorder="1"/>
    <xf numFmtId="171" fontId="14" fillId="0" borderId="0" xfId="0" applyNumberFormat="1" applyFont="1"/>
    <xf numFmtId="0" fontId="14" fillId="5" borderId="6" xfId="0" applyFont="1" applyFill="1" applyBorder="1"/>
    <xf numFmtId="167" fontId="16" fillId="5" borderId="7" xfId="0" applyNumberFormat="1" applyFont="1" applyFill="1" applyBorder="1"/>
    <xf numFmtId="167" fontId="16" fillId="0" borderId="0" xfId="0" applyNumberFormat="1" applyFont="1"/>
    <xf numFmtId="0" fontId="2" fillId="0" borderId="1" xfId="0" applyFont="1" applyBorder="1"/>
    <xf numFmtId="0" fontId="14" fillId="0" borderId="1" xfId="0" applyFont="1" applyBorder="1"/>
    <xf numFmtId="0" fontId="2" fillId="0" borderId="1" xfId="0" applyFont="1" applyBorder="1" applyAlignment="1">
      <alignment horizontal="left" indent="1"/>
    </xf>
    <xf numFmtId="167" fontId="14" fillId="0" borderId="1" xfId="0" applyNumberFormat="1" applyFont="1" applyBorder="1"/>
    <xf numFmtId="172" fontId="16" fillId="0" borderId="0" xfId="0" applyNumberFormat="1" applyFont="1"/>
    <xf numFmtId="172" fontId="2" fillId="0" borderId="0" xfId="0" applyNumberFormat="1" applyFont="1"/>
    <xf numFmtId="0" fontId="21" fillId="3" borderId="0" xfId="0" applyFont="1" applyFill="1"/>
    <xf numFmtId="0" fontId="22" fillId="6" borderId="8" xfId="0" applyFont="1" applyFill="1" applyBorder="1"/>
    <xf numFmtId="0" fontId="4" fillId="6" borderId="6" xfId="0" applyFont="1" applyFill="1" applyBorder="1"/>
    <xf numFmtId="0" fontId="5" fillId="6" borderId="6" xfId="0" applyFont="1" applyFill="1" applyBorder="1"/>
    <xf numFmtId="0" fontId="2" fillId="6" borderId="6" xfId="0" applyFont="1" applyFill="1" applyBorder="1"/>
    <xf numFmtId="0" fontId="2" fillId="6" borderId="7" xfId="0" applyFont="1" applyFill="1" applyBorder="1"/>
    <xf numFmtId="0" fontId="2" fillId="6" borderId="9" xfId="0" applyFont="1" applyFill="1" applyBorder="1"/>
    <xf numFmtId="0" fontId="2" fillId="6" borderId="0" xfId="0" applyFont="1" applyFill="1"/>
    <xf numFmtId="0" fontId="6" fillId="6" borderId="0" xfId="0" applyFont="1" applyFill="1" applyAlignment="1">
      <alignment horizontal="center"/>
    </xf>
    <xf numFmtId="0" fontId="5" fillId="6" borderId="0" xfId="0" applyFont="1" applyFill="1"/>
    <xf numFmtId="0" fontId="2" fillId="6" borderId="10" xfId="0" applyFont="1" applyFill="1" applyBorder="1"/>
    <xf numFmtId="172" fontId="23" fillId="6" borderId="0" xfId="0" applyNumberFormat="1" applyFont="1" applyFill="1"/>
    <xf numFmtId="168" fontId="24" fillId="6" borderId="0" xfId="0" applyNumberFormat="1" applyFont="1" applyFill="1" applyAlignment="1">
      <alignment horizontal="center"/>
    </xf>
    <xf numFmtId="168" fontId="25" fillId="7" borderId="0" xfId="0" applyNumberFormat="1" applyFont="1" applyFill="1" applyAlignment="1">
      <alignment horizontal="center"/>
    </xf>
    <xf numFmtId="168" fontId="24" fillId="6" borderId="10" xfId="0" applyNumberFormat="1" applyFont="1" applyFill="1" applyBorder="1" applyAlignment="1">
      <alignment horizontal="center"/>
    </xf>
    <xf numFmtId="168" fontId="24" fillId="6" borderId="0" xfId="0" applyNumberFormat="1" applyFont="1" applyFill="1" applyAlignment="1">
      <alignment horizontal="right" vertical="center"/>
    </xf>
    <xf numFmtId="173" fontId="2" fillId="0" borderId="8" xfId="0" applyNumberFormat="1" applyFont="1" applyBorder="1" applyAlignment="1">
      <alignment horizontal="center"/>
    </xf>
    <xf numFmtId="173" fontId="2" fillId="0" borderId="6" xfId="0" applyNumberFormat="1" applyFont="1" applyBorder="1" applyAlignment="1">
      <alignment horizontal="center"/>
    </xf>
    <xf numFmtId="173" fontId="2" fillId="7" borderId="6" xfId="0" applyNumberFormat="1" applyFont="1" applyFill="1" applyBorder="1" applyAlignment="1">
      <alignment horizontal="center"/>
    </xf>
    <xf numFmtId="173" fontId="2" fillId="0" borderId="7" xfId="0" applyNumberFormat="1" applyFont="1" applyBorder="1" applyAlignment="1">
      <alignment horizontal="center"/>
    </xf>
    <xf numFmtId="173" fontId="2" fillId="0" borderId="9" xfId="0" applyNumberFormat="1" applyFont="1" applyBorder="1" applyAlignment="1">
      <alignment horizontal="center"/>
    </xf>
    <xf numFmtId="173" fontId="2" fillId="0" borderId="0" xfId="0" applyNumberFormat="1" applyFont="1" applyAlignment="1">
      <alignment horizontal="center"/>
    </xf>
    <xf numFmtId="173" fontId="2" fillId="7" borderId="0" xfId="0" applyNumberFormat="1" applyFont="1" applyFill="1" applyAlignment="1">
      <alignment horizontal="center"/>
    </xf>
    <xf numFmtId="173" fontId="2" fillId="0" borderId="10" xfId="0" applyNumberFormat="1" applyFont="1" applyBorder="1" applyAlignment="1">
      <alignment horizontal="center"/>
    </xf>
    <xf numFmtId="173" fontId="8" fillId="0" borderId="0" xfId="0" applyNumberFormat="1" applyFont="1" applyAlignment="1">
      <alignment horizontal="center"/>
    </xf>
    <xf numFmtId="173" fontId="2" fillId="7" borderId="9" xfId="0" applyNumberFormat="1" applyFont="1" applyFill="1" applyBorder="1" applyAlignment="1">
      <alignment horizontal="center"/>
    </xf>
    <xf numFmtId="173" fontId="5" fillId="7" borderId="0" xfId="0" applyNumberFormat="1" applyFont="1" applyFill="1" applyAlignment="1">
      <alignment horizontal="center"/>
    </xf>
    <xf numFmtId="173" fontId="2" fillId="7" borderId="10" xfId="0" applyNumberFormat="1" applyFont="1" applyFill="1" applyBorder="1" applyAlignment="1">
      <alignment horizontal="center"/>
    </xf>
    <xf numFmtId="168" fontId="24" fillId="6" borderId="11" xfId="0" applyNumberFormat="1" applyFont="1" applyFill="1" applyBorder="1" applyAlignment="1">
      <alignment horizontal="right" vertical="center"/>
    </xf>
    <xf numFmtId="168" fontId="24" fillId="6" borderId="1" xfId="0" applyNumberFormat="1" applyFont="1" applyFill="1" applyBorder="1" applyAlignment="1">
      <alignment horizontal="right" vertical="center"/>
    </xf>
    <xf numFmtId="173" fontId="2" fillId="0" borderId="11" xfId="0" applyNumberFormat="1" applyFont="1" applyBorder="1" applyAlignment="1">
      <alignment horizontal="center"/>
    </xf>
    <xf numFmtId="173" fontId="2" fillId="0" borderId="1" xfId="0" applyNumberFormat="1" applyFont="1" applyBorder="1" applyAlignment="1">
      <alignment horizontal="center"/>
    </xf>
    <xf numFmtId="173" fontId="2" fillId="7" borderId="1" xfId="0" applyNumberFormat="1" applyFont="1" applyFill="1" applyBorder="1" applyAlignment="1">
      <alignment horizontal="center"/>
    </xf>
    <xf numFmtId="173" fontId="2" fillId="0" borderId="12" xfId="0" applyNumberFormat="1" applyFont="1" applyBorder="1" applyAlignment="1">
      <alignment horizontal="center"/>
    </xf>
    <xf numFmtId="170" fontId="25" fillId="7" borderId="0" xfId="0" applyNumberFormat="1" applyFont="1" applyFill="1" applyAlignment="1">
      <alignment horizontal="right" vertical="center"/>
    </xf>
    <xf numFmtId="0" fontId="5" fillId="6" borderId="9" xfId="0" applyFont="1" applyFill="1" applyBorder="1" applyAlignment="1">
      <alignment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monko\Desktop\IB%20Work\DCF's\Monster%20Energy%20-%20DCF.xlsx" TargetMode="External"/><Relationship Id="rId1" Type="http://schemas.openxmlformats.org/officeDocument/2006/relationships/externalLinkPath" Target="Monster%20Energy%20-%20DC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CF"/>
      <sheetName val="WACC"/>
    </sheetNames>
    <sheetDataSet>
      <sheetData sheetId="0">
        <row r="19">
          <cell r="E19">
            <v>7492709</v>
          </cell>
          <cell r="F19">
            <v>8294343</v>
          </cell>
        </row>
        <row r="22">
          <cell r="E22">
            <v>1930294</v>
          </cell>
          <cell r="F22">
            <v>2419354</v>
          </cell>
        </row>
        <row r="29">
          <cell r="D29">
            <v>68898</v>
          </cell>
          <cell r="E29">
            <v>80434</v>
          </cell>
          <cell r="F29">
            <v>114441</v>
          </cell>
        </row>
        <row r="32">
          <cell r="D32">
            <v>234724</v>
          </cell>
          <cell r="E32">
            <v>306434</v>
          </cell>
          <cell r="F32">
            <v>157529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C0E3-1A11-432F-9F02-235DCD5A3F61}">
  <dimension ref="A1:T96"/>
  <sheetViews>
    <sheetView showGridLines="0" tabSelected="1" zoomScale="80" zoomScaleNormal="80" workbookViewId="0"/>
  </sheetViews>
  <sheetFormatPr defaultRowHeight="15" x14ac:dyDescent="0.25"/>
  <cols>
    <col min="1" max="1" width="3.625" style="3" customWidth="1"/>
    <col min="2" max="4" width="9" style="3"/>
    <col min="5" max="5" width="9.625" style="3" bestFit="1" customWidth="1"/>
    <col min="6" max="9" width="9" style="3"/>
    <col min="10" max="10" width="8.875" style="35" bestFit="1" customWidth="1"/>
    <col min="11" max="13" width="9.625" style="35" bestFit="1" customWidth="1"/>
    <col min="14" max="14" width="10.5" style="35" bestFit="1" customWidth="1"/>
    <col min="15" max="17" width="9" style="3"/>
    <col min="18" max="18" width="9.625" style="3" bestFit="1" customWidth="1"/>
    <col min="19" max="16384" width="9" style="3"/>
  </cols>
  <sheetData>
    <row r="1" spans="1:20" customFormat="1" ht="15.75" x14ac:dyDescent="0.25">
      <c r="A1" t="s">
        <v>0</v>
      </c>
    </row>
    <row r="2" spans="1:20" s="1" customFormat="1" ht="21" x14ac:dyDescent="0.35">
      <c r="B2" s="2" t="s">
        <v>2</v>
      </c>
    </row>
    <row r="3" spans="1:20" x14ac:dyDescent="0.25">
      <c r="B3" s="3" t="s">
        <v>0</v>
      </c>
      <c r="J3" s="3"/>
      <c r="K3" s="3"/>
      <c r="L3" s="3"/>
      <c r="M3" s="3"/>
      <c r="N3" s="3"/>
    </row>
    <row r="4" spans="1:20" x14ac:dyDescent="0.25">
      <c r="B4" s="3" t="s">
        <v>3</v>
      </c>
      <c r="C4" s="52" t="s">
        <v>55</v>
      </c>
      <c r="E4" s="3" t="s">
        <v>38</v>
      </c>
      <c r="H4" s="78">
        <f ca="1">N83</f>
        <v>59.176314187294317</v>
      </c>
      <c r="J4" s="3"/>
      <c r="K4" s="3"/>
      <c r="L4" s="3"/>
      <c r="M4" s="3"/>
      <c r="N4" s="3"/>
    </row>
    <row r="5" spans="1:20" x14ac:dyDescent="0.25">
      <c r="B5" s="3" t="s">
        <v>4</v>
      </c>
      <c r="C5" s="51">
        <v>46207</v>
      </c>
      <c r="E5" s="3" t="s">
        <v>58</v>
      </c>
      <c r="H5" s="78">
        <v>97.6</v>
      </c>
      <c r="J5" s="3"/>
      <c r="K5" s="3"/>
      <c r="L5" s="3"/>
      <c r="M5" s="3"/>
      <c r="N5" s="3"/>
    </row>
    <row r="6" spans="1:20" x14ac:dyDescent="0.25">
      <c r="B6" s="3" t="s">
        <v>5</v>
      </c>
      <c r="C6" s="51">
        <v>46387</v>
      </c>
      <c r="E6" s="3" t="s">
        <v>59</v>
      </c>
      <c r="H6" s="34">
        <f ca="1">H4/H5-1</f>
        <v>-0.39368530545805003</v>
      </c>
      <c r="J6" s="3"/>
      <c r="K6" s="3"/>
      <c r="L6" s="3"/>
      <c r="M6" s="3"/>
      <c r="N6" s="3"/>
    </row>
    <row r="7" spans="1:20" x14ac:dyDescent="0.25">
      <c r="J7" s="3"/>
      <c r="K7" s="3"/>
      <c r="L7" s="3"/>
      <c r="M7" s="3"/>
      <c r="N7" s="3"/>
    </row>
    <row r="8" spans="1:20" s="5" customFormat="1" x14ac:dyDescent="0.25">
      <c r="A8" s="3" t="s">
        <v>1</v>
      </c>
      <c r="B8" s="7" t="s">
        <v>6</v>
      </c>
    </row>
    <row r="9" spans="1:20" ht="5.0999999999999996" customHeight="1" x14ac:dyDescent="0.25">
      <c r="J9" s="3"/>
      <c r="K9" s="3"/>
      <c r="L9" s="3"/>
      <c r="M9" s="3"/>
      <c r="N9" s="3"/>
    </row>
    <row r="10" spans="1:20" x14ac:dyDescent="0.25">
      <c r="B10" s="9" t="s">
        <v>7</v>
      </c>
      <c r="C10" s="10"/>
      <c r="D10" s="10"/>
      <c r="E10" s="10"/>
      <c r="G10" s="9" t="s">
        <v>12</v>
      </c>
      <c r="H10" s="10"/>
      <c r="I10" s="10"/>
      <c r="J10" s="10"/>
      <c r="K10" s="3"/>
      <c r="L10" s="9" t="s">
        <v>15</v>
      </c>
      <c r="M10" s="10"/>
      <c r="N10" s="10"/>
      <c r="O10" s="10"/>
      <c r="Q10" s="9" t="s">
        <v>16</v>
      </c>
      <c r="R10" s="10"/>
      <c r="S10" s="10"/>
      <c r="T10" s="10"/>
    </row>
    <row r="11" spans="1:20" x14ac:dyDescent="0.25">
      <c r="B11" s="11" t="s">
        <v>6</v>
      </c>
      <c r="G11" s="11" t="s">
        <v>6</v>
      </c>
      <c r="I11" s="13" t="s">
        <v>13</v>
      </c>
      <c r="J11" s="12" t="s">
        <v>14</v>
      </c>
      <c r="K11" s="3"/>
      <c r="L11" s="11" t="s">
        <v>6</v>
      </c>
      <c r="M11" s="3"/>
      <c r="N11" s="13" t="s">
        <v>13</v>
      </c>
      <c r="O11" s="12" t="s">
        <v>14</v>
      </c>
      <c r="Q11" s="11" t="s">
        <v>6</v>
      </c>
      <c r="S11" s="13" t="s">
        <v>13</v>
      </c>
      <c r="T11" s="12" t="s">
        <v>14</v>
      </c>
    </row>
    <row r="12" spans="1:20" x14ac:dyDescent="0.25">
      <c r="B12" s="3" t="s">
        <v>8</v>
      </c>
      <c r="E12" s="4">
        <v>2</v>
      </c>
      <c r="G12" s="3" t="s">
        <v>8</v>
      </c>
      <c r="I12" s="14">
        <v>2026</v>
      </c>
      <c r="J12" s="28">
        <v>0.8</v>
      </c>
      <c r="K12" s="3"/>
      <c r="L12" s="3" t="s">
        <v>8</v>
      </c>
      <c r="M12" s="3"/>
      <c r="N12" s="14">
        <v>2026</v>
      </c>
      <c r="O12" s="28">
        <v>0.1</v>
      </c>
      <c r="Q12" s="3" t="s">
        <v>8</v>
      </c>
      <c r="S12" s="14">
        <v>2026</v>
      </c>
      <c r="T12" s="28">
        <v>1.2</v>
      </c>
    </row>
    <row r="13" spans="1:20" x14ac:dyDescent="0.25">
      <c r="B13" s="3" t="s">
        <v>9</v>
      </c>
      <c r="E13" s="4">
        <v>1</v>
      </c>
      <c r="G13" s="3" t="s">
        <v>8</v>
      </c>
      <c r="I13" s="14">
        <v>2030</v>
      </c>
      <c r="J13" s="28">
        <v>0.75</v>
      </c>
      <c r="K13" s="3"/>
      <c r="L13" s="3" t="s">
        <v>8</v>
      </c>
      <c r="M13" s="3"/>
      <c r="N13" s="14">
        <v>2030</v>
      </c>
      <c r="O13" s="28">
        <v>0.08</v>
      </c>
      <c r="Q13" s="3" t="s">
        <v>8</v>
      </c>
      <c r="S13" s="14">
        <v>2030</v>
      </c>
      <c r="T13" s="28">
        <v>1.1499999999999999</v>
      </c>
    </row>
    <row r="14" spans="1:20" x14ac:dyDescent="0.25">
      <c r="B14" s="3" t="s">
        <v>10</v>
      </c>
      <c r="E14" s="4">
        <v>1</v>
      </c>
      <c r="G14" s="3" t="s">
        <v>9</v>
      </c>
      <c r="I14" s="14">
        <v>2026</v>
      </c>
      <c r="J14" s="28">
        <v>0.93</v>
      </c>
      <c r="K14" s="3"/>
      <c r="L14" s="3" t="s">
        <v>9</v>
      </c>
      <c r="M14" s="3"/>
      <c r="N14" s="14">
        <v>2026</v>
      </c>
      <c r="O14" s="28">
        <v>0.3</v>
      </c>
      <c r="Q14" s="3" t="s">
        <v>9</v>
      </c>
      <c r="S14" s="14">
        <v>2026</v>
      </c>
      <c r="T14" s="28">
        <v>1.05</v>
      </c>
    </row>
    <row r="15" spans="1:20" x14ac:dyDescent="0.25">
      <c r="B15" s="3" t="s">
        <v>11</v>
      </c>
      <c r="E15" s="4">
        <v>2</v>
      </c>
      <c r="G15" s="3" t="s">
        <v>9</v>
      </c>
      <c r="I15" s="14">
        <v>2030</v>
      </c>
      <c r="J15" s="28">
        <v>0.9</v>
      </c>
      <c r="K15" s="3"/>
      <c r="L15" s="3" t="s">
        <v>9</v>
      </c>
      <c r="M15" s="3"/>
      <c r="N15" s="14">
        <v>2030</v>
      </c>
      <c r="O15" s="29">
        <v>0.32500000000000001</v>
      </c>
      <c r="Q15" s="3" t="s">
        <v>9</v>
      </c>
      <c r="S15" s="14">
        <v>2030</v>
      </c>
      <c r="T15" s="28">
        <v>1.05</v>
      </c>
    </row>
    <row r="16" spans="1:20" x14ac:dyDescent="0.25">
      <c r="J16" s="3"/>
      <c r="K16" s="3"/>
      <c r="L16" s="3"/>
      <c r="M16" s="3"/>
      <c r="N16" s="3"/>
    </row>
    <row r="17" spans="1:20" x14ac:dyDescent="0.25">
      <c r="B17" s="3" t="s">
        <v>10</v>
      </c>
      <c r="E17" s="65">
        <f>CHOOSE(E14,J17,O17,T17)</f>
        <v>6.8795999999999996E-2</v>
      </c>
      <c r="G17" s="3" t="s">
        <v>10</v>
      </c>
      <c r="J17" s="65">
        <f>O17+0.5%</f>
        <v>6.8795999999999996E-2</v>
      </c>
      <c r="K17" s="3"/>
      <c r="L17" s="3" t="s">
        <v>10</v>
      </c>
      <c r="M17" s="3"/>
      <c r="N17" s="3"/>
      <c r="O17" s="66">
        <f>WACC!E21</f>
        <v>6.3795999999999992E-2</v>
      </c>
      <c r="Q17" s="3" t="s">
        <v>10</v>
      </c>
      <c r="T17" s="65">
        <f>O17-0.5%</f>
        <v>5.8795999999999994E-2</v>
      </c>
    </row>
    <row r="18" spans="1:20" x14ac:dyDescent="0.25">
      <c r="B18" s="3" t="s">
        <v>11</v>
      </c>
      <c r="E18" s="65">
        <f>CHOOSE(E15,J18,O18,T18)</f>
        <v>2.5000000000000001E-2</v>
      </c>
      <c r="G18" s="3" t="s">
        <v>11</v>
      </c>
      <c r="J18" s="29">
        <v>0.02</v>
      </c>
      <c r="K18" s="3"/>
      <c r="L18" s="3" t="s">
        <v>11</v>
      </c>
      <c r="M18" s="3"/>
      <c r="N18" s="3"/>
      <c r="O18" s="29">
        <v>2.5000000000000001E-2</v>
      </c>
      <c r="Q18" s="3" t="s">
        <v>11</v>
      </c>
      <c r="T18" s="29">
        <v>0.03</v>
      </c>
    </row>
    <row r="19" spans="1:20" x14ac:dyDescent="0.25">
      <c r="J19" s="3"/>
      <c r="K19" s="3"/>
      <c r="L19" s="3"/>
      <c r="M19" s="3"/>
      <c r="N19" s="3"/>
    </row>
    <row r="20" spans="1:20" x14ac:dyDescent="0.25">
      <c r="A20" s="3" t="s">
        <v>1</v>
      </c>
      <c r="B20" s="7" t="s">
        <v>17</v>
      </c>
      <c r="C20" s="6"/>
      <c r="D20" s="6"/>
      <c r="E20" s="15">
        <v>44561</v>
      </c>
      <c r="F20" s="15">
        <f>EOMONTH(E20,12)</f>
        <v>44926</v>
      </c>
      <c r="G20" s="15">
        <f t="shared" ref="G20:N20" si="0">EOMONTH(F20,12)</f>
        <v>45291</v>
      </c>
      <c r="H20" s="15">
        <f>EOMONTH(G20,12)</f>
        <v>45657</v>
      </c>
      <c r="I20" s="15">
        <f t="shared" si="0"/>
        <v>46022</v>
      </c>
      <c r="J20" s="16">
        <f t="shared" si="0"/>
        <v>46387</v>
      </c>
      <c r="K20" s="16">
        <f t="shared" si="0"/>
        <v>46752</v>
      </c>
      <c r="L20" s="16">
        <f t="shared" si="0"/>
        <v>47118</v>
      </c>
      <c r="M20" s="16">
        <f t="shared" si="0"/>
        <v>47483</v>
      </c>
      <c r="N20" s="16">
        <f t="shared" si="0"/>
        <v>47848</v>
      </c>
    </row>
    <row r="21" spans="1:20" x14ac:dyDescent="0.25">
      <c r="B21" s="3" t="s">
        <v>8</v>
      </c>
      <c r="E21" s="45">
        <v>5541352</v>
      </c>
      <c r="F21" s="45">
        <v>6311050</v>
      </c>
      <c r="G21" s="45">
        <v>7140027</v>
      </c>
      <c r="H21" s="45">
        <f>[1]DCF!E19</f>
        <v>7492709</v>
      </c>
      <c r="I21" s="45">
        <f>[1]DCF!F19</f>
        <v>8294343</v>
      </c>
      <c r="J21" s="3"/>
      <c r="K21" s="3"/>
      <c r="L21" s="3"/>
      <c r="M21" s="3"/>
      <c r="N21" s="3"/>
    </row>
    <row r="22" spans="1:20" x14ac:dyDescent="0.25">
      <c r="B22" s="17" t="s">
        <v>18</v>
      </c>
      <c r="E22" s="49" t="s">
        <v>54</v>
      </c>
      <c r="F22" s="34">
        <f>F21/E21-1</f>
        <v>0.13890075923709588</v>
      </c>
      <c r="G22" s="34">
        <f t="shared" ref="G22:I22" si="1">G21/F21-1</f>
        <v>0.13135326134319958</v>
      </c>
      <c r="H22" s="34">
        <f t="shared" si="1"/>
        <v>4.9395051307228988E-2</v>
      </c>
      <c r="I22" s="34">
        <f t="shared" si="1"/>
        <v>0.106988540459799</v>
      </c>
      <c r="J22" s="3"/>
      <c r="K22" s="3"/>
      <c r="L22" s="3"/>
      <c r="M22" s="3"/>
      <c r="N22" s="3"/>
    </row>
    <row r="23" spans="1:20" x14ac:dyDescent="0.25">
      <c r="E23" s="35"/>
      <c r="F23" s="35"/>
      <c r="G23" s="35"/>
      <c r="H23" s="50"/>
      <c r="I23" s="50"/>
      <c r="J23" s="3"/>
      <c r="K23" s="3"/>
      <c r="L23" s="3"/>
      <c r="M23" s="3"/>
      <c r="N23" s="3"/>
    </row>
    <row r="24" spans="1:20" x14ac:dyDescent="0.25">
      <c r="B24" s="3" t="s">
        <v>9</v>
      </c>
      <c r="E24" s="45">
        <v>1797467</v>
      </c>
      <c r="F24" s="45">
        <v>1584721</v>
      </c>
      <c r="G24" s="45">
        <v>1953355</v>
      </c>
      <c r="H24" s="45">
        <f>[1]DCF!E22</f>
        <v>1930294</v>
      </c>
      <c r="I24" s="45">
        <f>[1]DCF!F22</f>
        <v>2419354</v>
      </c>
      <c r="J24" s="3"/>
      <c r="K24" s="3"/>
      <c r="L24" s="3"/>
      <c r="M24" s="3"/>
      <c r="N24" s="3"/>
    </row>
    <row r="25" spans="1:20" x14ac:dyDescent="0.25">
      <c r="B25" s="17" t="s">
        <v>19</v>
      </c>
      <c r="E25" s="34">
        <f>E24/E21</f>
        <v>0.32437336592225147</v>
      </c>
      <c r="F25" s="34">
        <f t="shared" ref="F25:I25" si="2">F24/F21</f>
        <v>0.25110258990183881</v>
      </c>
      <c r="G25" s="34">
        <f t="shared" si="2"/>
        <v>0.27357809711363834</v>
      </c>
      <c r="H25" s="34">
        <f t="shared" si="2"/>
        <v>0.25762297721691846</v>
      </c>
      <c r="I25" s="34">
        <f t="shared" si="2"/>
        <v>0.29168723791625206</v>
      </c>
      <c r="J25" s="3"/>
      <c r="K25" s="3"/>
      <c r="L25" s="3"/>
      <c r="M25" s="3"/>
      <c r="N25" s="3"/>
    </row>
    <row r="26" spans="1:20" x14ac:dyDescent="0.25">
      <c r="E26" s="35"/>
      <c r="F26" s="35"/>
      <c r="G26" s="35"/>
      <c r="H26" s="35"/>
      <c r="I26" s="35"/>
      <c r="J26" s="3"/>
      <c r="K26" s="3"/>
      <c r="L26" s="3"/>
      <c r="M26" s="3"/>
      <c r="N26" s="3"/>
    </row>
    <row r="27" spans="1:20" x14ac:dyDescent="0.25">
      <c r="B27" s="3" t="s">
        <v>20</v>
      </c>
      <c r="E27" s="45">
        <v>423944</v>
      </c>
      <c r="F27" s="45">
        <v>380340</v>
      </c>
      <c r="G27" s="45">
        <v>437494</v>
      </c>
      <c r="H27" s="45">
        <v>480411</v>
      </c>
      <c r="I27" s="45">
        <v>577097</v>
      </c>
      <c r="J27" s="3"/>
      <c r="K27" s="3"/>
      <c r="L27" s="3"/>
      <c r="M27" s="3"/>
      <c r="N27" s="3"/>
    </row>
    <row r="28" spans="1:20" x14ac:dyDescent="0.25">
      <c r="B28" s="17" t="s">
        <v>21</v>
      </c>
      <c r="E28" s="34">
        <f>E27/E24</f>
        <v>0.23585634673682465</v>
      </c>
      <c r="F28" s="34">
        <f t="shared" ref="F28:I28" si="3">F27/F24</f>
        <v>0.24000439194028475</v>
      </c>
      <c r="G28" s="34">
        <f t="shared" si="3"/>
        <v>0.22397055322765191</v>
      </c>
      <c r="H28" s="34">
        <f t="shared" si="3"/>
        <v>0.24887970433519455</v>
      </c>
      <c r="I28" s="34">
        <f t="shared" si="3"/>
        <v>0.23853350935828324</v>
      </c>
      <c r="J28" s="3"/>
      <c r="K28" s="3"/>
      <c r="L28" s="3"/>
      <c r="M28" s="3"/>
      <c r="N28" s="3"/>
    </row>
    <row r="29" spans="1:20" x14ac:dyDescent="0.25">
      <c r="J29" s="3"/>
      <c r="K29" s="3"/>
      <c r="L29" s="3"/>
      <c r="M29" s="3"/>
      <c r="N29" s="3"/>
    </row>
    <row r="30" spans="1:20" x14ac:dyDescent="0.25">
      <c r="A30" s="3" t="s">
        <v>1</v>
      </c>
      <c r="B30" s="7" t="s">
        <v>22</v>
      </c>
      <c r="C30" s="6"/>
      <c r="D30" s="6"/>
      <c r="E30" s="15">
        <v>44561</v>
      </c>
      <c r="F30" s="15">
        <f>EOMONTH(E30,12)</f>
        <v>44926</v>
      </c>
      <c r="G30" s="15">
        <f t="shared" ref="G30:N30" si="4">EOMONTH(F30,12)</f>
        <v>45291</v>
      </c>
      <c r="H30" s="15">
        <f>EOMONTH(G30,12)</f>
        <v>45657</v>
      </c>
      <c r="I30" s="15">
        <f t="shared" si="4"/>
        <v>46022</v>
      </c>
      <c r="J30" s="16">
        <f t="shared" si="4"/>
        <v>46387</v>
      </c>
      <c r="K30" s="16">
        <f t="shared" si="4"/>
        <v>46752</v>
      </c>
      <c r="L30" s="16">
        <f t="shared" si="4"/>
        <v>47118</v>
      </c>
      <c r="M30" s="16">
        <f t="shared" si="4"/>
        <v>47483</v>
      </c>
      <c r="N30" s="16">
        <f t="shared" si="4"/>
        <v>47848</v>
      </c>
    </row>
    <row r="31" spans="1:20" x14ac:dyDescent="0.25">
      <c r="B31" s="3" t="s">
        <v>23</v>
      </c>
      <c r="E31" s="45">
        <v>50155</v>
      </c>
      <c r="F31" s="45">
        <v>61241</v>
      </c>
      <c r="G31" s="45">
        <f>[1]DCF!D29</f>
        <v>68898</v>
      </c>
      <c r="H31" s="45">
        <f>[1]DCF!E29</f>
        <v>80434</v>
      </c>
      <c r="I31" s="45">
        <f>[1]DCF!F29</f>
        <v>114441</v>
      </c>
      <c r="J31" s="3"/>
      <c r="K31" s="3"/>
      <c r="L31" s="3"/>
      <c r="M31" s="3"/>
      <c r="N31" s="3"/>
    </row>
    <row r="32" spans="1:20" x14ac:dyDescent="0.25">
      <c r="B32" s="17" t="s">
        <v>19</v>
      </c>
      <c r="E32" s="34">
        <f>E31/E21</f>
        <v>9.0510402515487191E-3</v>
      </c>
      <c r="F32" s="34">
        <f t="shared" ref="F32:I32" si="5">F31/F21</f>
        <v>9.7037735400606877E-3</v>
      </c>
      <c r="G32" s="34">
        <f t="shared" si="5"/>
        <v>9.6495433420629925E-3</v>
      </c>
      <c r="H32" s="34">
        <f t="shared" si="5"/>
        <v>1.0734969154680904E-2</v>
      </c>
      <c r="I32" s="34">
        <f t="shared" si="5"/>
        <v>1.3797476183466249E-2</v>
      </c>
      <c r="J32" s="3"/>
      <c r="K32" s="3"/>
      <c r="L32" s="3"/>
      <c r="M32" s="3"/>
      <c r="N32" s="3"/>
    </row>
    <row r="33" spans="1:18" x14ac:dyDescent="0.25">
      <c r="E33" s="35"/>
      <c r="F33" s="35"/>
      <c r="G33" s="46"/>
      <c r="H33" s="46"/>
      <c r="I33" s="46"/>
      <c r="J33" s="3"/>
      <c r="K33" s="3"/>
      <c r="L33" s="3"/>
      <c r="M33" s="3"/>
      <c r="N33" s="3"/>
    </row>
    <row r="34" spans="1:18" x14ac:dyDescent="0.25">
      <c r="B34" s="3" t="s">
        <v>24</v>
      </c>
      <c r="E34" s="45">
        <f>43868+13585</f>
        <v>57453</v>
      </c>
      <c r="F34" s="45">
        <f>188726+23427</f>
        <v>212153</v>
      </c>
      <c r="G34" s="45">
        <f>[1]DCF!D32</f>
        <v>234724</v>
      </c>
      <c r="H34" s="45">
        <f>[1]DCF!E32</f>
        <v>306434</v>
      </c>
      <c r="I34" s="45">
        <f>[1]DCF!F32</f>
        <v>157529</v>
      </c>
      <c r="J34" s="3"/>
      <c r="K34" s="3"/>
      <c r="L34" s="3"/>
      <c r="M34" s="3"/>
      <c r="N34" s="3"/>
    </row>
    <row r="35" spans="1:18" x14ac:dyDescent="0.25">
      <c r="B35" s="17" t="s">
        <v>19</v>
      </c>
      <c r="E35" s="34">
        <f>E34/E21</f>
        <v>1.0368047364614268E-2</v>
      </c>
      <c r="F35" s="34">
        <f t="shared" ref="F35:I35" si="6">F34/F21</f>
        <v>3.361611776170368E-2</v>
      </c>
      <c r="G35" s="34">
        <f t="shared" si="6"/>
        <v>3.2874385489018457E-2</v>
      </c>
      <c r="H35" s="34">
        <f t="shared" si="6"/>
        <v>4.0897624610804983E-2</v>
      </c>
      <c r="I35" s="34">
        <f t="shared" si="6"/>
        <v>1.899234213005177E-2</v>
      </c>
      <c r="J35" s="3"/>
      <c r="K35" s="3"/>
      <c r="L35" s="3"/>
      <c r="M35" s="3"/>
      <c r="N35" s="3"/>
    </row>
    <row r="36" spans="1:18" x14ac:dyDescent="0.25">
      <c r="E36" s="35"/>
      <c r="F36" s="35"/>
      <c r="G36" s="35"/>
      <c r="H36" s="35"/>
      <c r="I36" s="35"/>
      <c r="J36" s="3"/>
      <c r="K36" s="3"/>
      <c r="L36" s="3"/>
      <c r="M36" s="3"/>
      <c r="N36" s="3"/>
    </row>
    <row r="37" spans="1:18" x14ac:dyDescent="0.25">
      <c r="B37" s="3" t="s">
        <v>26</v>
      </c>
      <c r="E37" s="45">
        <v>640845</v>
      </c>
      <c r="F37" s="45">
        <v>1093464</v>
      </c>
      <c r="G37" s="45">
        <v>1174027</v>
      </c>
      <c r="H37" s="45">
        <v>1010698</v>
      </c>
      <c r="I37" s="45">
        <v>1148103</v>
      </c>
      <c r="J37" s="3"/>
      <c r="K37" s="3"/>
      <c r="L37" s="3"/>
      <c r="M37" s="3"/>
      <c r="N37" s="3"/>
    </row>
    <row r="38" spans="1:18" x14ac:dyDescent="0.25">
      <c r="B38" s="3" t="s">
        <v>25</v>
      </c>
      <c r="E38" s="47" t="s">
        <v>54</v>
      </c>
      <c r="F38" s="48">
        <f>F37-E37</f>
        <v>452619</v>
      </c>
      <c r="G38" s="48">
        <f t="shared" ref="G38:I38" si="7">G37-F37</f>
        <v>80563</v>
      </c>
      <c r="H38" s="48">
        <f t="shared" si="7"/>
        <v>-163329</v>
      </c>
      <c r="I38" s="48">
        <f t="shared" si="7"/>
        <v>137405</v>
      </c>
      <c r="J38" s="3"/>
      <c r="K38" s="3"/>
      <c r="L38" s="3"/>
      <c r="M38" s="3"/>
      <c r="N38" s="3"/>
    </row>
    <row r="39" spans="1:18" s="26" customFormat="1" x14ac:dyDescent="0.25">
      <c r="A39" s="3"/>
      <c r="B39" s="17" t="s">
        <v>19</v>
      </c>
      <c r="C39" s="3"/>
      <c r="D39" s="3"/>
      <c r="E39" s="47" t="s">
        <v>54</v>
      </c>
      <c r="F39" s="34">
        <f>F38/F21</f>
        <v>7.1718493753020501E-2</v>
      </c>
      <c r="G39" s="34">
        <f t="shared" ref="G39:I39" si="8">G38/G21</f>
        <v>1.1283290665427456E-2</v>
      </c>
      <c r="H39" s="34">
        <f t="shared" si="8"/>
        <v>-2.1798390942448186E-2</v>
      </c>
      <c r="I39" s="34">
        <f t="shared" si="8"/>
        <v>1.6566110178949676E-2</v>
      </c>
    </row>
    <row r="40" spans="1:18" x14ac:dyDescent="0.25">
      <c r="J40" s="3">
        <v>1</v>
      </c>
      <c r="K40" s="3">
        <v>2</v>
      </c>
      <c r="L40" s="3">
        <v>3</v>
      </c>
      <c r="M40" s="3">
        <v>4</v>
      </c>
      <c r="N40" s="3">
        <v>5</v>
      </c>
    </row>
    <row r="41" spans="1:18" x14ac:dyDescent="0.25">
      <c r="A41" s="3" t="s">
        <v>1</v>
      </c>
      <c r="B41" s="7" t="s">
        <v>27</v>
      </c>
      <c r="C41" s="6"/>
      <c r="D41" s="6"/>
      <c r="E41" s="15">
        <v>44561</v>
      </c>
      <c r="F41" s="15">
        <f>EOMONTH(E41,12)</f>
        <v>44926</v>
      </c>
      <c r="G41" s="15">
        <f t="shared" ref="G41:N41" si="9">EOMONTH(F41,12)</f>
        <v>45291</v>
      </c>
      <c r="H41" s="15">
        <f>EOMONTH(G41,12)</f>
        <v>45657</v>
      </c>
      <c r="I41" s="15">
        <f t="shared" si="9"/>
        <v>46022</v>
      </c>
      <c r="J41" s="16">
        <f t="shared" si="9"/>
        <v>46387</v>
      </c>
      <c r="K41" s="16">
        <f t="shared" si="9"/>
        <v>46752</v>
      </c>
      <c r="L41" s="16">
        <f t="shared" si="9"/>
        <v>47118</v>
      </c>
      <c r="M41" s="16">
        <f t="shared" si="9"/>
        <v>47483</v>
      </c>
      <c r="N41" s="16">
        <f t="shared" si="9"/>
        <v>47848</v>
      </c>
    </row>
    <row r="42" spans="1:18" x14ac:dyDescent="0.25">
      <c r="B42" s="3" t="s">
        <v>8</v>
      </c>
      <c r="E42" s="30">
        <f>E21</f>
        <v>5541352</v>
      </c>
      <c r="F42" s="30">
        <f t="shared" ref="F42:I42" si="10">F21</f>
        <v>6311050</v>
      </c>
      <c r="G42" s="30">
        <f t="shared" si="10"/>
        <v>7140027</v>
      </c>
      <c r="H42" s="30">
        <f t="shared" si="10"/>
        <v>7492709</v>
      </c>
      <c r="I42" s="30">
        <f t="shared" si="10"/>
        <v>8294343</v>
      </c>
      <c r="J42" s="31">
        <f ca="1">I42*(1+J43)</f>
        <v>9123777.3000000007</v>
      </c>
      <c r="K42" s="31">
        <f t="shared" ref="K42:N42" ca="1" si="11">J42*(1+K43)</f>
        <v>10001940.865125</v>
      </c>
      <c r="L42" s="31">
        <f t="shared" ca="1" si="11"/>
        <v>10927120.395149063</v>
      </c>
      <c r="M42" s="31">
        <f t="shared" ca="1" si="11"/>
        <v>11896902.330218544</v>
      </c>
      <c r="N42" s="31">
        <f t="shared" ca="1" si="11"/>
        <v>12908139.02828712</v>
      </c>
      <c r="R42" s="27"/>
    </row>
    <row r="43" spans="1:18" x14ac:dyDescent="0.25">
      <c r="B43" s="17" t="s">
        <v>18</v>
      </c>
      <c r="E43" s="32" t="str">
        <f>E22</f>
        <v>--</v>
      </c>
      <c r="F43" s="33">
        <f t="shared" ref="F43:I43" si="12">F22</f>
        <v>0.13890075923709588</v>
      </c>
      <c r="G43" s="33">
        <f t="shared" si="12"/>
        <v>0.13135326134319958</v>
      </c>
      <c r="H43" s="33">
        <f t="shared" si="12"/>
        <v>4.9395051307228988E-2</v>
      </c>
      <c r="I43" s="33">
        <f t="shared" si="12"/>
        <v>0.106988540459799</v>
      </c>
      <c r="J43" s="34">
        <f ca="1">OFFSET(J43,$E$12,0)</f>
        <v>0.1</v>
      </c>
      <c r="K43" s="34">
        <f t="shared" ref="K43:N43" ca="1" si="13">OFFSET(K43,$E$12,0)</f>
        <v>9.6250000000000002E-2</v>
      </c>
      <c r="L43" s="34">
        <f t="shared" ca="1" si="13"/>
        <v>9.2499999999999999E-2</v>
      </c>
      <c r="M43" s="34">
        <f t="shared" ca="1" si="13"/>
        <v>8.8749999999999996E-2</v>
      </c>
      <c r="N43" s="34">
        <f t="shared" ca="1" si="13"/>
        <v>8.5000000000000006E-2</v>
      </c>
      <c r="R43" s="27"/>
    </row>
    <row r="44" spans="1:18" x14ac:dyDescent="0.25">
      <c r="B44" s="19" t="s">
        <v>39</v>
      </c>
      <c r="E44" s="35"/>
      <c r="F44" s="35"/>
      <c r="G44" s="35"/>
      <c r="H44" s="35"/>
      <c r="I44" s="35"/>
      <c r="J44" s="36">
        <f>J45*J12</f>
        <v>8.0000000000000016E-2</v>
      </c>
      <c r="K44" s="36">
        <f>J44-($J$44-$N$44)/($N$40-J40)</f>
        <v>7.5937500000000019E-2</v>
      </c>
      <c r="L44" s="36">
        <f t="shared" ref="L44:M44" si="14">K44-($J$44-$N$44)/($N$40-K40)</f>
        <v>7.0520833333333352E-2</v>
      </c>
      <c r="M44" s="36">
        <f t="shared" si="14"/>
        <v>6.2395833333333345E-2</v>
      </c>
      <c r="N44" s="36">
        <f>N45*J13</f>
        <v>6.3750000000000001E-2</v>
      </c>
      <c r="R44" s="26"/>
    </row>
    <row r="45" spans="1:18" x14ac:dyDescent="0.25">
      <c r="B45" s="19" t="s">
        <v>40</v>
      </c>
      <c r="E45" s="35"/>
      <c r="F45" s="30"/>
      <c r="G45" s="35"/>
      <c r="H45" s="35"/>
      <c r="I45" s="35"/>
      <c r="J45" s="37">
        <f>O12</f>
        <v>0.1</v>
      </c>
      <c r="K45" s="36">
        <f>J45-($J$45-$N$45)/($N$40-$J$40)</f>
        <v>9.6250000000000002E-2</v>
      </c>
      <c r="L45" s="36">
        <f t="shared" ref="L45:M45" si="15">K45-($J$45-$N$45)/($N$40-$J$40)</f>
        <v>9.2499999999999999E-2</v>
      </c>
      <c r="M45" s="36">
        <f t="shared" si="15"/>
        <v>8.8749999999999996E-2</v>
      </c>
      <c r="N45" s="37">
        <v>8.5000000000000006E-2</v>
      </c>
    </row>
    <row r="46" spans="1:18" x14ac:dyDescent="0.25">
      <c r="B46" s="19" t="s">
        <v>41</v>
      </c>
      <c r="E46" s="35"/>
      <c r="F46" s="35"/>
      <c r="G46" s="35"/>
      <c r="H46" s="35"/>
      <c r="I46" s="35"/>
      <c r="J46" s="36">
        <f>J45*T12</f>
        <v>0.12</v>
      </c>
      <c r="K46" s="36">
        <f>J46-($J$46-$N$46)/($N$40-$J$40)</f>
        <v>0.1144375</v>
      </c>
      <c r="L46" s="36">
        <f t="shared" ref="L46:M46" si="16">K46-($J$46-$N$46)/($N$40-$J$40)</f>
        <v>0.108875</v>
      </c>
      <c r="M46" s="36">
        <f t="shared" si="16"/>
        <v>0.1033125</v>
      </c>
      <c r="N46" s="38">
        <f>N45*T13</f>
        <v>9.7750000000000004E-2</v>
      </c>
    </row>
    <row r="47" spans="1:18" x14ac:dyDescent="0.25">
      <c r="B47" s="17"/>
      <c r="E47" s="35"/>
      <c r="F47" s="35"/>
      <c r="G47" s="35"/>
      <c r="H47" s="35"/>
      <c r="I47" s="35"/>
    </row>
    <row r="48" spans="1:18" x14ac:dyDescent="0.25">
      <c r="E48" s="35"/>
      <c r="F48" s="35"/>
      <c r="G48" s="35"/>
      <c r="H48" s="35"/>
      <c r="I48" s="35"/>
    </row>
    <row r="49" spans="2:14" x14ac:dyDescent="0.25">
      <c r="B49" s="3" t="s">
        <v>9</v>
      </c>
      <c r="E49" s="30">
        <f>E24</f>
        <v>1797467</v>
      </c>
      <c r="F49" s="30">
        <f t="shared" ref="F49:I49" si="17">F24</f>
        <v>1584721</v>
      </c>
      <c r="G49" s="30">
        <f t="shared" si="17"/>
        <v>1953355</v>
      </c>
      <c r="H49" s="30">
        <f t="shared" si="17"/>
        <v>1930294</v>
      </c>
      <c r="I49" s="30">
        <f t="shared" si="17"/>
        <v>2419354</v>
      </c>
      <c r="J49" s="31">
        <f ca="1">J42*J50</f>
        <v>2545533.8667000006</v>
      </c>
      <c r="K49" s="31">
        <f t="shared" ref="K49:N49" ca="1" si="18">K42*K50</f>
        <v>2824298.0517896726</v>
      </c>
      <c r="L49" s="31">
        <f t="shared" ca="1" si="18"/>
        <v>3122424.6529138456</v>
      </c>
      <c r="M49" s="31">
        <f t="shared" ca="1" si="18"/>
        <v>3439691.8862244375</v>
      </c>
      <c r="N49" s="31">
        <f t="shared" ca="1" si="18"/>
        <v>3775630.6657739831</v>
      </c>
    </row>
    <row r="50" spans="2:14" x14ac:dyDescent="0.25">
      <c r="B50" s="17" t="s">
        <v>19</v>
      </c>
      <c r="E50" s="39">
        <f>E25</f>
        <v>0.32437336592225147</v>
      </c>
      <c r="F50" s="39">
        <f t="shared" ref="F50:I50" si="19">F25</f>
        <v>0.25110258990183881</v>
      </c>
      <c r="G50" s="39">
        <f t="shared" si="19"/>
        <v>0.27357809711363834</v>
      </c>
      <c r="H50" s="39">
        <f t="shared" si="19"/>
        <v>0.25762297721691846</v>
      </c>
      <c r="I50" s="39">
        <f t="shared" si="19"/>
        <v>0.29168723791625206</v>
      </c>
      <c r="J50" s="34">
        <f ca="1">OFFSET(J50,$E$13,0)</f>
        <v>0.27900000000000003</v>
      </c>
      <c r="K50" s="34">
        <f t="shared" ref="K50:N50" ca="1" si="20">OFFSET(K50,$E$13,0)</f>
        <v>0.28237500000000004</v>
      </c>
      <c r="L50" s="34">
        <f t="shared" ca="1" si="20"/>
        <v>0.28575000000000006</v>
      </c>
      <c r="M50" s="34">
        <f t="shared" ca="1" si="20"/>
        <v>0.28912500000000008</v>
      </c>
      <c r="N50" s="34">
        <f t="shared" ca="1" si="20"/>
        <v>0.29250000000000004</v>
      </c>
    </row>
    <row r="51" spans="2:14" x14ac:dyDescent="0.25">
      <c r="B51" s="19" t="s">
        <v>39</v>
      </c>
      <c r="E51" s="35"/>
      <c r="F51" s="35"/>
      <c r="G51" s="35"/>
      <c r="H51" s="35"/>
      <c r="I51" s="35"/>
      <c r="J51" s="40">
        <f>J52*J14</f>
        <v>0.27900000000000003</v>
      </c>
      <c r="K51" s="40">
        <f>J51-($J$51-$N$51)/($N$40-$J$40)</f>
        <v>0.28237500000000004</v>
      </c>
      <c r="L51" s="40">
        <f t="shared" ref="L51:M51" si="21">K51-($J$51-$N$51)/($N$40-$J$40)</f>
        <v>0.28575000000000006</v>
      </c>
      <c r="M51" s="40">
        <f t="shared" si="21"/>
        <v>0.28912500000000008</v>
      </c>
      <c r="N51" s="40">
        <f>N52*J15</f>
        <v>0.29250000000000004</v>
      </c>
    </row>
    <row r="52" spans="2:14" x14ac:dyDescent="0.25">
      <c r="B52" s="19" t="s">
        <v>40</v>
      </c>
      <c r="E52" s="35"/>
      <c r="F52" s="35"/>
      <c r="G52" s="35"/>
      <c r="H52" s="35"/>
      <c r="I52" s="35"/>
      <c r="J52" s="37">
        <f>O14</f>
        <v>0.3</v>
      </c>
      <c r="K52" s="41">
        <f>J52-($J$52-$N$52)/($N$40-$J$40)</f>
        <v>0.30625000000000002</v>
      </c>
      <c r="L52" s="41">
        <f t="shared" ref="L52:M52" si="22">K52-($J$52-$N$52)/($N$40-$J$40)</f>
        <v>0.3125</v>
      </c>
      <c r="M52" s="41">
        <f t="shared" si="22"/>
        <v>0.31874999999999998</v>
      </c>
      <c r="N52" s="37">
        <f>O15</f>
        <v>0.32500000000000001</v>
      </c>
    </row>
    <row r="53" spans="2:14" x14ac:dyDescent="0.25">
      <c r="B53" s="19" t="s">
        <v>41</v>
      </c>
      <c r="E53" s="35"/>
      <c r="F53" s="35"/>
      <c r="G53" s="35"/>
      <c r="H53" s="35"/>
      <c r="I53" s="35"/>
      <c r="J53" s="40">
        <f>J52*T14</f>
        <v>0.315</v>
      </c>
      <c r="K53" s="41">
        <f>J53-($J$53-$N$53)/($N$40-$J$40)</f>
        <v>0.32156250000000003</v>
      </c>
      <c r="L53" s="41">
        <f t="shared" ref="L53:M53" si="23">K53-($J$53-$N$53)/($N$40-$J$40)</f>
        <v>0.32812500000000006</v>
      </c>
      <c r="M53" s="41">
        <f t="shared" si="23"/>
        <v>0.33468750000000008</v>
      </c>
      <c r="N53" s="40">
        <f>N52*T15</f>
        <v>0.34125000000000005</v>
      </c>
    </row>
    <row r="54" spans="2:14" x14ac:dyDescent="0.25">
      <c r="B54" s="19"/>
      <c r="E54" s="35"/>
      <c r="F54" s="35"/>
      <c r="G54" s="35"/>
      <c r="H54" s="35"/>
      <c r="I54" s="35"/>
    </row>
    <row r="55" spans="2:14" x14ac:dyDescent="0.25">
      <c r="B55" s="3" t="s">
        <v>20</v>
      </c>
      <c r="E55" s="30">
        <f>E27</f>
        <v>423944</v>
      </c>
      <c r="F55" s="30">
        <f t="shared" ref="F55:I56" si="24">F27</f>
        <v>380340</v>
      </c>
      <c r="G55" s="30">
        <f t="shared" si="24"/>
        <v>437494</v>
      </c>
      <c r="H55" s="30">
        <f t="shared" si="24"/>
        <v>480411</v>
      </c>
      <c r="I55" s="30">
        <f t="shared" si="24"/>
        <v>577097</v>
      </c>
      <c r="J55" s="31">
        <f ca="1">J49*J56</f>
        <v>604434.21941076324</v>
      </c>
      <c r="K55" s="31">
        <f t="shared" ref="K55:N55" ca="1" si="25">K49*K56</f>
        <v>670626.46883181995</v>
      </c>
      <c r="L55" s="31">
        <f t="shared" ca="1" si="25"/>
        <v>741416.30266329041</v>
      </c>
      <c r="M55" s="31">
        <f t="shared" ca="1" si="25"/>
        <v>816751.05857416138</v>
      </c>
      <c r="N55" s="31">
        <f t="shared" ca="1" si="25"/>
        <v>896519.35262167663</v>
      </c>
    </row>
    <row r="56" spans="2:14" x14ac:dyDescent="0.25">
      <c r="B56" s="17" t="s">
        <v>21</v>
      </c>
      <c r="E56" s="39">
        <f>E28</f>
        <v>0.23585634673682465</v>
      </c>
      <c r="F56" s="39">
        <f t="shared" si="24"/>
        <v>0.24000439194028475</v>
      </c>
      <c r="G56" s="39">
        <f t="shared" si="24"/>
        <v>0.22397055322765191</v>
      </c>
      <c r="H56" s="39">
        <f t="shared" si="24"/>
        <v>0.24887970433519455</v>
      </c>
      <c r="I56" s="39">
        <f t="shared" si="24"/>
        <v>0.23853350935828324</v>
      </c>
      <c r="J56" s="36">
        <f>AVERAGE(E56:I56)</f>
        <v>0.23744890111964784</v>
      </c>
      <c r="K56" s="37">
        <f>J56</f>
        <v>0.23744890111964784</v>
      </c>
      <c r="L56" s="37">
        <f t="shared" ref="L56:N56" si="26">K56</f>
        <v>0.23744890111964784</v>
      </c>
      <c r="M56" s="37">
        <f t="shared" si="26"/>
        <v>0.23744890111964784</v>
      </c>
      <c r="N56" s="37">
        <f t="shared" si="26"/>
        <v>0.23744890111964784</v>
      </c>
    </row>
    <row r="57" spans="2:14" x14ac:dyDescent="0.25">
      <c r="E57" s="35"/>
      <c r="F57" s="35"/>
      <c r="G57" s="35"/>
      <c r="H57" s="35"/>
      <c r="I57" s="35"/>
    </row>
    <row r="58" spans="2:14" x14ac:dyDescent="0.25">
      <c r="B58" s="23" t="s">
        <v>28</v>
      </c>
      <c r="C58" s="25"/>
      <c r="D58" s="25"/>
      <c r="E58" s="42"/>
      <c r="F58" s="42"/>
      <c r="G58" s="42"/>
      <c r="H58" s="42"/>
      <c r="I58" s="42"/>
      <c r="J58" s="43">
        <f ca="1">J49-J55</f>
        <v>1941099.6472892375</v>
      </c>
      <c r="K58" s="43">
        <f t="shared" ref="K58:N58" ca="1" si="27">K49-K55</f>
        <v>2153671.5829578526</v>
      </c>
      <c r="L58" s="43">
        <f t="shared" ca="1" si="27"/>
        <v>2381008.3502505552</v>
      </c>
      <c r="M58" s="43">
        <f t="shared" ca="1" si="27"/>
        <v>2622940.827650276</v>
      </c>
      <c r="N58" s="44">
        <f t="shared" ca="1" si="27"/>
        <v>2879111.3131523067</v>
      </c>
    </row>
    <row r="59" spans="2:14" x14ac:dyDescent="0.25">
      <c r="J59" s="3"/>
      <c r="K59" s="3"/>
      <c r="L59" s="3"/>
      <c r="M59" s="3"/>
      <c r="N59" s="3"/>
    </row>
    <row r="60" spans="2:14" x14ac:dyDescent="0.25">
      <c r="B60" s="3" t="s">
        <v>23</v>
      </c>
      <c r="E60" s="30">
        <f>E31</f>
        <v>50155</v>
      </c>
      <c r="F60" s="30">
        <f t="shared" ref="F60:I60" si="28">F31</f>
        <v>61241</v>
      </c>
      <c r="G60" s="30">
        <f t="shared" si="28"/>
        <v>68898</v>
      </c>
      <c r="H60" s="30">
        <f t="shared" si="28"/>
        <v>80434</v>
      </c>
      <c r="I60" s="30">
        <f t="shared" si="28"/>
        <v>114441</v>
      </c>
      <c r="J60" s="31">
        <f ca="1">J42*J61</f>
        <v>96596.719345394231</v>
      </c>
      <c r="K60" s="31">
        <f t="shared" ref="K60:N60" ca="1" si="29">K42*K61</f>
        <v>105894.15358238842</v>
      </c>
      <c r="L60" s="31">
        <f t="shared" ca="1" si="29"/>
        <v>115689.36278875935</v>
      </c>
      <c r="M60" s="31">
        <f t="shared" ca="1" si="29"/>
        <v>125956.79373626175</v>
      </c>
      <c r="N60" s="31">
        <f t="shared" ca="1" si="29"/>
        <v>136663.121203844</v>
      </c>
    </row>
    <row r="61" spans="2:14" x14ac:dyDescent="0.25">
      <c r="B61" s="17" t="s">
        <v>19</v>
      </c>
      <c r="E61" s="39">
        <f>E32</f>
        <v>9.0510402515487191E-3</v>
      </c>
      <c r="F61" s="39">
        <f t="shared" ref="F61:I61" si="30">F32</f>
        <v>9.7037735400606877E-3</v>
      </c>
      <c r="G61" s="39">
        <f t="shared" si="30"/>
        <v>9.6495433420629925E-3</v>
      </c>
      <c r="H61" s="39">
        <f t="shared" si="30"/>
        <v>1.0734969154680904E-2</v>
      </c>
      <c r="I61" s="39">
        <f t="shared" si="30"/>
        <v>1.3797476183466249E-2</v>
      </c>
      <c r="J61" s="36">
        <f>AVERAGE(E61:I61)</f>
        <v>1.058736049436391E-2</v>
      </c>
      <c r="K61" s="37">
        <f>J61</f>
        <v>1.058736049436391E-2</v>
      </c>
      <c r="L61" s="37">
        <f t="shared" ref="L61:N61" si="31">K61</f>
        <v>1.058736049436391E-2</v>
      </c>
      <c r="M61" s="37">
        <f t="shared" si="31"/>
        <v>1.058736049436391E-2</v>
      </c>
      <c r="N61" s="37">
        <f t="shared" si="31"/>
        <v>1.058736049436391E-2</v>
      </c>
    </row>
    <row r="62" spans="2:14" x14ac:dyDescent="0.25">
      <c r="J62" s="3"/>
      <c r="K62" s="3"/>
      <c r="L62" s="3"/>
      <c r="M62" s="3"/>
      <c r="N62" s="3"/>
    </row>
    <row r="63" spans="2:14" x14ac:dyDescent="0.25">
      <c r="B63" s="3" t="s">
        <v>24</v>
      </c>
      <c r="E63" s="30">
        <f>E34</f>
        <v>57453</v>
      </c>
      <c r="F63" s="30">
        <f t="shared" ref="F63:I63" si="32">F34</f>
        <v>212153</v>
      </c>
      <c r="G63" s="30">
        <f t="shared" si="32"/>
        <v>234724</v>
      </c>
      <c r="H63" s="30">
        <f t="shared" si="32"/>
        <v>306434</v>
      </c>
      <c r="I63" s="30">
        <f t="shared" si="32"/>
        <v>157529</v>
      </c>
      <c r="J63" s="31">
        <f ca="1">J42*J64</f>
        <v>136856.65950000001</v>
      </c>
      <c r="K63" s="31">
        <f t="shared" ref="K63:N63" ca="1" si="33">K42*K64</f>
        <v>150029.11297687501</v>
      </c>
      <c r="L63" s="31">
        <f t="shared" ca="1" si="33"/>
        <v>163906.80592723595</v>
      </c>
      <c r="M63" s="31">
        <f t="shared" ca="1" si="33"/>
        <v>178453.53495327817</v>
      </c>
      <c r="N63" s="31">
        <f t="shared" ca="1" si="33"/>
        <v>193622.0854243068</v>
      </c>
    </row>
    <row r="64" spans="2:14" x14ac:dyDescent="0.25">
      <c r="B64" s="17" t="s">
        <v>19</v>
      </c>
      <c r="E64" s="39">
        <f>E35</f>
        <v>1.0368047364614268E-2</v>
      </c>
      <c r="F64" s="39">
        <f t="shared" ref="F64:I64" si="34">F35</f>
        <v>3.361611776170368E-2</v>
      </c>
      <c r="G64" s="39">
        <f t="shared" si="34"/>
        <v>3.2874385489018457E-2</v>
      </c>
      <c r="H64" s="39">
        <f t="shared" si="34"/>
        <v>4.0897624610804983E-2</v>
      </c>
      <c r="I64" s="39">
        <f t="shared" si="34"/>
        <v>1.899234213005177E-2</v>
      </c>
      <c r="J64" s="36">
        <v>1.4999999999999999E-2</v>
      </c>
      <c r="K64" s="37">
        <v>1.4999999999999999E-2</v>
      </c>
      <c r="L64" s="37">
        <v>1.4999999999999999E-2</v>
      </c>
      <c r="M64" s="37">
        <v>1.4999999999999999E-2</v>
      </c>
      <c r="N64" s="37">
        <v>1.4999999999999999E-2</v>
      </c>
    </row>
    <row r="65" spans="1:14" x14ac:dyDescent="0.25">
      <c r="J65" s="3"/>
      <c r="K65" s="3"/>
      <c r="L65" s="3"/>
      <c r="M65" s="3"/>
      <c r="N65" s="3"/>
    </row>
    <row r="66" spans="1:14" x14ac:dyDescent="0.25">
      <c r="B66" s="3" t="s">
        <v>25</v>
      </c>
      <c r="E66" s="53" t="str">
        <f>E38</f>
        <v>--</v>
      </c>
      <c r="F66" s="30">
        <f t="shared" ref="F66:I66" si="35">F38</f>
        <v>452619</v>
      </c>
      <c r="G66" s="30">
        <f t="shared" si="35"/>
        <v>80563</v>
      </c>
      <c r="H66" s="30">
        <f t="shared" si="35"/>
        <v>-163329</v>
      </c>
      <c r="I66" s="30">
        <f t="shared" si="35"/>
        <v>137405</v>
      </c>
      <c r="J66" s="31">
        <f ca="1">J42*J67</f>
        <v>177387.90801982372</v>
      </c>
      <c r="K66" s="31">
        <f t="shared" ref="K66:N66" ca="1" si="36">K42*K67</f>
        <v>194461.49416673175</v>
      </c>
      <c r="L66" s="31">
        <f t="shared" ca="1" si="36"/>
        <v>212449.18237715442</v>
      </c>
      <c r="M66" s="31">
        <f t="shared" ca="1" si="36"/>
        <v>231304.04731312691</v>
      </c>
      <c r="N66" s="31">
        <f t="shared" ca="1" si="36"/>
        <v>250964.89133474269</v>
      </c>
    </row>
    <row r="67" spans="1:14" x14ac:dyDescent="0.25">
      <c r="B67" s="17" t="s">
        <v>19</v>
      </c>
      <c r="E67" s="54" t="str">
        <f>E39</f>
        <v>--</v>
      </c>
      <c r="F67" s="39">
        <f t="shared" ref="F67:I67" si="37">F39</f>
        <v>7.1718493753020501E-2</v>
      </c>
      <c r="G67" s="39">
        <f t="shared" si="37"/>
        <v>1.1283290665427456E-2</v>
      </c>
      <c r="H67" s="39">
        <f t="shared" si="37"/>
        <v>-2.1798390942448186E-2</v>
      </c>
      <c r="I67" s="39">
        <f t="shared" si="37"/>
        <v>1.6566110178949676E-2</v>
      </c>
      <c r="J67" s="36">
        <f>AVERAGE(F67:I67)</f>
        <v>1.9442375913737361E-2</v>
      </c>
      <c r="K67" s="37">
        <f>J67</f>
        <v>1.9442375913737361E-2</v>
      </c>
      <c r="L67" s="37">
        <f t="shared" ref="L67:N67" si="38">K67</f>
        <v>1.9442375913737361E-2</v>
      </c>
      <c r="M67" s="37">
        <f t="shared" si="38"/>
        <v>1.9442375913737361E-2</v>
      </c>
      <c r="N67" s="37">
        <f t="shared" si="38"/>
        <v>1.9442375913737361E-2</v>
      </c>
    </row>
    <row r="68" spans="1:14" x14ac:dyDescent="0.25">
      <c r="J68" s="3"/>
      <c r="K68" s="3"/>
      <c r="L68" s="3"/>
      <c r="M68" s="3"/>
      <c r="N68" s="3"/>
    </row>
    <row r="69" spans="1:14" x14ac:dyDescent="0.25">
      <c r="B69" s="23" t="s">
        <v>29</v>
      </c>
      <c r="C69" s="25"/>
      <c r="D69" s="25"/>
      <c r="E69" s="25"/>
      <c r="F69" s="25"/>
      <c r="G69" s="25"/>
      <c r="H69" s="25"/>
      <c r="I69" s="25"/>
      <c r="J69" s="43">
        <f ca="1">J58+J60-J63-J66</f>
        <v>1723451.799114808</v>
      </c>
      <c r="K69" s="43">
        <f t="shared" ref="K69:N69" ca="1" si="39">K58+K60-K63-K66</f>
        <v>1915075.1293966342</v>
      </c>
      <c r="L69" s="43">
        <f t="shared" ca="1" si="39"/>
        <v>2120341.7247349238</v>
      </c>
      <c r="M69" s="43">
        <f t="shared" ca="1" si="39"/>
        <v>2339140.039120133</v>
      </c>
      <c r="N69" s="44">
        <f t="shared" ca="1" si="39"/>
        <v>2571187.4575971011</v>
      </c>
    </row>
    <row r="70" spans="1:14" x14ac:dyDescent="0.25">
      <c r="B70" s="23" t="s">
        <v>30</v>
      </c>
      <c r="C70" s="25"/>
      <c r="D70" s="25"/>
      <c r="E70" s="25"/>
      <c r="F70" s="25"/>
      <c r="G70" s="25"/>
      <c r="H70" s="25"/>
      <c r="I70" s="25"/>
      <c r="J70" s="43">
        <f ca="1">J69/(1+wacc)^J72</f>
        <v>1695492.3393098875</v>
      </c>
      <c r="K70" s="43">
        <f ca="1">K69/(1+wacc)^K72</f>
        <v>1792799.7651164883</v>
      </c>
      <c r="L70" s="43">
        <f ca="1">L69/(1+wacc)^L72</f>
        <v>1857192.88086567</v>
      </c>
      <c r="M70" s="43">
        <f ca="1">M69/(1+wacc)^M72</f>
        <v>1916957.8056062134</v>
      </c>
      <c r="N70" s="44">
        <f ca="1">N69/(1+wacc)^N72</f>
        <v>1971493.057078934</v>
      </c>
    </row>
    <row r="72" spans="1:14" x14ac:dyDescent="0.25">
      <c r="A72" s="3" t="s">
        <v>1</v>
      </c>
      <c r="B72" s="3" t="s">
        <v>31</v>
      </c>
      <c r="J72" s="69">
        <f>J73/2</f>
        <v>0.24583333333333332</v>
      </c>
      <c r="K72" s="69">
        <f>J73+0.5</f>
        <v>0.9916666666666667</v>
      </c>
      <c r="L72" s="69">
        <f>K72+1</f>
        <v>1.9916666666666667</v>
      </c>
      <c r="M72" s="69">
        <f t="shared" ref="M72:N72" si="40">L72+1</f>
        <v>2.9916666666666667</v>
      </c>
      <c r="N72" s="69">
        <f t="shared" si="40"/>
        <v>3.9916666666666667</v>
      </c>
    </row>
    <row r="73" spans="1:14" x14ac:dyDescent="0.25">
      <c r="B73" s="3" t="s">
        <v>32</v>
      </c>
      <c r="J73" s="69">
        <f>YEARFRAC(C5,C6)</f>
        <v>0.49166666666666664</v>
      </c>
    </row>
    <row r="75" spans="1:14" x14ac:dyDescent="0.25">
      <c r="B75" s="67" t="s">
        <v>33</v>
      </c>
      <c r="C75" s="68"/>
      <c r="D75" s="68"/>
      <c r="E75" s="68"/>
      <c r="F75" s="68"/>
      <c r="G75" s="68"/>
      <c r="H75" s="68"/>
      <c r="I75" s="68"/>
      <c r="J75" s="70"/>
      <c r="K75" s="70"/>
      <c r="L75" s="70"/>
      <c r="M75" s="70"/>
      <c r="N75" s="71">
        <f ca="1">N69*(1+tgr)/(wacc-tgr)</f>
        <v>60175978.263700537</v>
      </c>
    </row>
    <row r="76" spans="1:14" x14ac:dyDescent="0.25">
      <c r="B76" s="23" t="s">
        <v>34</v>
      </c>
      <c r="C76" s="25"/>
      <c r="D76" s="25"/>
      <c r="E76" s="25"/>
      <c r="F76" s="25"/>
      <c r="G76" s="25"/>
      <c r="H76" s="25"/>
      <c r="I76" s="25"/>
      <c r="J76" s="42"/>
      <c r="K76" s="42"/>
      <c r="L76" s="42"/>
      <c r="M76" s="42"/>
      <c r="N76" s="44">
        <f ca="1">N75/(1+wacc)^N72</f>
        <v>46140752.203532457</v>
      </c>
    </row>
    <row r="78" spans="1:14" x14ac:dyDescent="0.25">
      <c r="B78" s="8" t="s">
        <v>35</v>
      </c>
      <c r="N78" s="72">
        <f ca="1">SUM(N76,J70:N70)</f>
        <v>55374688.051509656</v>
      </c>
    </row>
    <row r="79" spans="1:14" x14ac:dyDescent="0.25">
      <c r="B79" s="18" t="s">
        <v>56</v>
      </c>
      <c r="N79" s="35">
        <v>0</v>
      </c>
    </row>
    <row r="80" spans="1:14" x14ac:dyDescent="0.25">
      <c r="B80" s="75" t="s">
        <v>57</v>
      </c>
      <c r="C80" s="73"/>
      <c r="D80" s="73"/>
      <c r="E80" s="73"/>
      <c r="F80" s="73"/>
      <c r="G80" s="73"/>
      <c r="H80" s="73"/>
      <c r="I80" s="73"/>
      <c r="J80" s="74"/>
      <c r="K80" s="74"/>
      <c r="L80" s="74"/>
      <c r="M80" s="74"/>
      <c r="N80" s="76">
        <v>2984993</v>
      </c>
    </row>
    <row r="81" spans="1:14" x14ac:dyDescent="0.25">
      <c r="B81" s="8" t="s">
        <v>36</v>
      </c>
      <c r="N81" s="72">
        <f ca="1">N78+N80-N79</f>
        <v>58359681.051509656</v>
      </c>
    </row>
    <row r="82" spans="1:14" x14ac:dyDescent="0.25">
      <c r="B82" s="73" t="s">
        <v>37</v>
      </c>
      <c r="C82" s="73"/>
      <c r="D82" s="73"/>
      <c r="E82" s="73"/>
      <c r="F82" s="73"/>
      <c r="G82" s="73"/>
      <c r="H82" s="73"/>
      <c r="I82" s="73"/>
      <c r="J82" s="74"/>
      <c r="K82" s="74"/>
      <c r="L82" s="74"/>
      <c r="M82" s="74"/>
      <c r="N82" s="76">
        <v>986200</v>
      </c>
    </row>
    <row r="83" spans="1:14" x14ac:dyDescent="0.25">
      <c r="A83" s="3" t="s">
        <v>1</v>
      </c>
      <c r="B83" s="8" t="s">
        <v>38</v>
      </c>
      <c r="N83" s="77">
        <f ca="1">N81/N82</f>
        <v>59.176314187294317</v>
      </c>
    </row>
    <row r="85" spans="1:14" x14ac:dyDescent="0.25">
      <c r="B85" s="7" t="s">
        <v>60</v>
      </c>
      <c r="C85" s="7"/>
      <c r="D85" s="7"/>
      <c r="E85" s="7"/>
      <c r="F85" s="7"/>
      <c r="G85" s="7"/>
      <c r="H85" s="7"/>
      <c r="I85" s="7"/>
      <c r="J85" s="79"/>
      <c r="K85" s="79"/>
      <c r="L85" s="79"/>
      <c r="M85" s="79"/>
      <c r="N85" s="79"/>
    </row>
    <row r="86" spans="1:14" ht="5.0999999999999996" customHeight="1" x14ac:dyDescent="0.25"/>
    <row r="87" spans="1:14" ht="15" customHeight="1" x14ac:dyDescent="0.25">
      <c r="B87" s="80"/>
      <c r="C87" s="81"/>
      <c r="D87" s="81"/>
      <c r="E87" s="81"/>
      <c r="F87" s="82" t="s">
        <v>61</v>
      </c>
      <c r="G87" s="83"/>
      <c r="H87" s="83"/>
      <c r="I87" s="83"/>
      <c r="J87" s="84"/>
    </row>
    <row r="88" spans="1:14" x14ac:dyDescent="0.25">
      <c r="B88" s="85"/>
      <c r="C88" s="86"/>
      <c r="D88" s="86"/>
      <c r="E88" s="87"/>
      <c r="F88" s="88"/>
      <c r="G88" s="86"/>
      <c r="H88" s="86"/>
      <c r="I88" s="86"/>
      <c r="J88" s="89"/>
    </row>
    <row r="89" spans="1:14" x14ac:dyDescent="0.25">
      <c r="B89" s="85"/>
      <c r="C89" s="90">
        <f ca="1">N83</f>
        <v>59.176314187294317</v>
      </c>
      <c r="D89" s="91">
        <v>0.01</v>
      </c>
      <c r="E89" s="91">
        <v>1.4999999999999999E-2</v>
      </c>
      <c r="F89" s="91">
        <v>0.02</v>
      </c>
      <c r="G89" s="92">
        <v>2.5000000000000001E-2</v>
      </c>
      <c r="H89" s="91">
        <v>0.03</v>
      </c>
      <c r="I89" s="91">
        <v>3.5000000000000003E-2</v>
      </c>
      <c r="J89" s="93">
        <v>0.04</v>
      </c>
    </row>
    <row r="90" spans="1:14" x14ac:dyDescent="0.25">
      <c r="B90" s="114" t="s">
        <v>10</v>
      </c>
      <c r="C90" s="94">
        <v>5.5E-2</v>
      </c>
      <c r="D90" s="95">
        <f t="dataTable" ref="D90:J96" dt2D="1" dtr="1" r1="E18" r2="E17" ca="1"/>
        <v>59.908289825389438</v>
      </c>
      <c r="E90" s="96">
        <v>66.078538018846672</v>
      </c>
      <c r="F90" s="96">
        <v>74.011714267577403</v>
      </c>
      <c r="G90" s="97">
        <v>84.589282599218393</v>
      </c>
      <c r="H90" s="96">
        <v>99.397878263515764</v>
      </c>
      <c r="I90" s="96">
        <v>121.61077175996185</v>
      </c>
      <c r="J90" s="98">
        <v>158.63226092070528</v>
      </c>
    </row>
    <row r="91" spans="1:14" x14ac:dyDescent="0.25">
      <c r="B91" s="114"/>
      <c r="C91" s="94">
        <v>0.06</v>
      </c>
      <c r="D91" s="99">
        <v>54.290997120089145</v>
      </c>
      <c r="E91" s="100">
        <v>59.157864536908527</v>
      </c>
      <c r="F91" s="100">
        <v>65.241448807932784</v>
      </c>
      <c r="G91" s="101">
        <v>73.063200013535379</v>
      </c>
      <c r="H91" s="100">
        <v>83.492201621005535</v>
      </c>
      <c r="I91" s="100">
        <v>98.092803871463744</v>
      </c>
      <c r="J91" s="102">
        <v>119.99370724715104</v>
      </c>
    </row>
    <row r="92" spans="1:14" x14ac:dyDescent="0.25">
      <c r="B92" s="114"/>
      <c r="C92" s="94">
        <v>6.5000000000000002E-2</v>
      </c>
      <c r="D92" s="99">
        <v>49.696102354268234</v>
      </c>
      <c r="E92" s="100">
        <v>53.622417391333393</v>
      </c>
      <c r="F92" s="103">
        <v>58.421246881079725</v>
      </c>
      <c r="G92" s="101">
        <v>64.419783743262627</v>
      </c>
      <c r="H92" s="100">
        <v>72.132188280354924</v>
      </c>
      <c r="I92" s="100">
        <v>82.415394329811321</v>
      </c>
      <c r="J92" s="102">
        <v>96.811882799050281</v>
      </c>
    </row>
    <row r="93" spans="1:14" x14ac:dyDescent="0.25">
      <c r="B93" s="114"/>
      <c r="C93" s="113">
        <v>6.88E-2</v>
      </c>
      <c r="D93" s="104">
        <v>46.72726770520805</v>
      </c>
      <c r="E93" s="101">
        <v>50.104264229324571</v>
      </c>
      <c r="F93" s="101">
        <v>54.173268237891214</v>
      </c>
      <c r="G93" s="105">
        <v>59.171268595445675</v>
      </c>
      <c r="H93" s="101">
        <v>65.457413375050251</v>
      </c>
      <c r="I93" s="101">
        <v>73.603364302466844</v>
      </c>
      <c r="J93" s="106">
        <v>84.577770413014193</v>
      </c>
    </row>
    <row r="94" spans="1:14" x14ac:dyDescent="0.25">
      <c r="B94" s="114"/>
      <c r="C94" s="94">
        <v>7.0000000000000007E-2</v>
      </c>
      <c r="D94" s="99">
        <v>45.867981476054339</v>
      </c>
      <c r="E94" s="100">
        <v>49.094382441330147</v>
      </c>
      <c r="F94" s="100">
        <v>52.966063599661126</v>
      </c>
      <c r="G94" s="101">
        <v>57.698118348732322</v>
      </c>
      <c r="H94" s="100">
        <v>63.613186785071321</v>
      </c>
      <c r="I94" s="100">
        <v>71.218274774650027</v>
      </c>
      <c r="J94" s="102">
        <v>81.358392094088316</v>
      </c>
    </row>
    <row r="95" spans="1:14" x14ac:dyDescent="0.25">
      <c r="B95" s="114"/>
      <c r="C95" s="94">
        <v>7.4999999999999997E-2</v>
      </c>
      <c r="D95" s="99">
        <v>42.629664607199977</v>
      </c>
      <c r="E95" s="100">
        <v>45.321884224412621</v>
      </c>
      <c r="F95" s="100">
        <v>48.503598317482123</v>
      </c>
      <c r="G95" s="101">
        <v>52.321655229165522</v>
      </c>
      <c r="H95" s="100">
        <v>56.988169232334123</v>
      </c>
      <c r="I95" s="100">
        <v>62.821311736294867</v>
      </c>
      <c r="J95" s="102">
        <v>70.321066384244418</v>
      </c>
    </row>
    <row r="96" spans="1:14" x14ac:dyDescent="0.25">
      <c r="B96" s="107"/>
      <c r="C96" s="108">
        <v>0.08</v>
      </c>
      <c r="D96" s="109">
        <v>39.854745248729259</v>
      </c>
      <c r="E96" s="110">
        <v>42.130547984875498</v>
      </c>
      <c r="F96" s="110">
        <v>44.785651177046134</v>
      </c>
      <c r="G96" s="111">
        <v>47.923500404156869</v>
      </c>
      <c r="H96" s="110">
        <v>51.688919476689762</v>
      </c>
      <c r="I96" s="110">
        <v>56.291098343118854</v>
      </c>
      <c r="J96" s="112">
        <v>62.043821926155211</v>
      </c>
    </row>
  </sheetData>
  <mergeCells count="1">
    <mergeCell ref="B90:B9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3C670-6282-4103-9A37-2E5677416251}">
  <dimension ref="A1:G21"/>
  <sheetViews>
    <sheetView showGridLines="0" workbookViewId="0"/>
  </sheetViews>
  <sheetFormatPr defaultRowHeight="15" x14ac:dyDescent="0.25"/>
  <cols>
    <col min="1" max="1" width="3.625" style="20" customWidth="1"/>
    <col min="2" max="16384" width="9" style="20"/>
  </cols>
  <sheetData>
    <row r="1" spans="1:7" customFormat="1" ht="15.75" x14ac:dyDescent="0.25"/>
    <row r="2" spans="1:7" s="1" customFormat="1" ht="21" x14ac:dyDescent="0.35">
      <c r="B2" s="2" t="s">
        <v>43</v>
      </c>
    </row>
    <row r="4" spans="1:7" x14ac:dyDescent="0.25">
      <c r="A4" s="20" t="s">
        <v>1</v>
      </c>
      <c r="B4" s="7" t="s">
        <v>10</v>
      </c>
      <c r="C4" s="21"/>
      <c r="D4" s="21"/>
      <c r="E4" s="21"/>
      <c r="F4" s="21"/>
      <c r="G4" s="21"/>
    </row>
    <row r="5" spans="1:7" x14ac:dyDescent="0.25">
      <c r="B5" s="8" t="s">
        <v>42</v>
      </c>
    </row>
    <row r="6" spans="1:7" x14ac:dyDescent="0.25">
      <c r="B6" s="8"/>
    </row>
    <row r="7" spans="1:7" x14ac:dyDescent="0.25">
      <c r="B7" s="20" t="s">
        <v>45</v>
      </c>
      <c r="E7" s="57">
        <v>0</v>
      </c>
    </row>
    <row r="8" spans="1:7" x14ac:dyDescent="0.25">
      <c r="B8" s="20" t="s">
        <v>44</v>
      </c>
      <c r="E8" s="60">
        <f>E7/E19</f>
        <v>0</v>
      </c>
    </row>
    <row r="9" spans="1:7" x14ac:dyDescent="0.25">
      <c r="B9" s="20" t="s">
        <v>47</v>
      </c>
      <c r="E9" s="58">
        <v>0</v>
      </c>
    </row>
    <row r="10" spans="1:7" x14ac:dyDescent="0.25">
      <c r="B10" s="20" t="s">
        <v>46</v>
      </c>
      <c r="E10" s="28">
        <v>0.23</v>
      </c>
    </row>
    <row r="11" spans="1:7" x14ac:dyDescent="0.25">
      <c r="G11" s="56"/>
    </row>
    <row r="12" spans="1:7" x14ac:dyDescent="0.25">
      <c r="B12" s="20" t="s">
        <v>36</v>
      </c>
      <c r="E12" s="45">
        <v>95450</v>
      </c>
    </row>
    <row r="13" spans="1:7" x14ac:dyDescent="0.25">
      <c r="B13" s="20" t="s">
        <v>48</v>
      </c>
      <c r="E13" s="61">
        <f>E12/E19</f>
        <v>1</v>
      </c>
    </row>
    <row r="14" spans="1:7" x14ac:dyDescent="0.25">
      <c r="B14" s="20" t="s">
        <v>49</v>
      </c>
      <c r="E14" s="63">
        <f>E15+(E17*E16)</f>
        <v>6.3795999999999992E-2</v>
      </c>
    </row>
    <row r="15" spans="1:7" x14ac:dyDescent="0.25">
      <c r="B15" s="20" t="s">
        <v>50</v>
      </c>
      <c r="E15" s="62">
        <v>4.1799999999999997E-2</v>
      </c>
    </row>
    <row r="16" spans="1:7" x14ac:dyDescent="0.25">
      <c r="B16" s="20" t="s">
        <v>51</v>
      </c>
      <c r="E16" s="62">
        <v>4.2299999999999997E-2</v>
      </c>
    </row>
    <row r="17" spans="1:5" x14ac:dyDescent="0.25">
      <c r="B17" s="20" t="s">
        <v>52</v>
      </c>
      <c r="E17" s="55">
        <v>0.52</v>
      </c>
    </row>
    <row r="19" spans="1:5" x14ac:dyDescent="0.25">
      <c r="B19" s="22" t="s">
        <v>53</v>
      </c>
      <c r="C19" s="22"/>
      <c r="D19" s="22"/>
      <c r="E19" s="59">
        <f>E12+E7</f>
        <v>95450</v>
      </c>
    </row>
    <row r="21" spans="1:5" x14ac:dyDescent="0.25">
      <c r="A21" s="20" t="s">
        <v>1</v>
      </c>
      <c r="B21" s="23" t="s">
        <v>10</v>
      </c>
      <c r="C21" s="24"/>
      <c r="D21" s="24"/>
      <c r="E21" s="64">
        <f>(E13*E14)+(E8*E9*(1-E10))</f>
        <v>6.3795999999999992E-2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DCF</vt:lpstr>
      <vt:lpstr>WACC</vt:lpstr>
      <vt:lpstr>tgr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Norrman</dc:creator>
  <cp:lastModifiedBy>Simon Norrman</cp:lastModifiedBy>
  <dcterms:created xsi:type="dcterms:W3CDTF">2026-07-03T20:53:30Z</dcterms:created>
  <dcterms:modified xsi:type="dcterms:W3CDTF">2026-07-04T12:41:23Z</dcterms:modified>
</cp:coreProperties>
</file>